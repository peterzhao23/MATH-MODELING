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基础支出数据" sheetId="1" r:id="rId1"/>
    <sheet name="各因素相关支出" sheetId="2" r:id="rId2"/>
    <sheet name="支出汇总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<sst xmlns="http://schemas.openxmlformats.org/spreadsheetml/2006/main" count="45" uniqueCount="34">
  <si>
    <t>年份</t>
  </si>
  <si>
    <t>教育支出</t>
  </si>
  <si>
    <t>科技支出</t>
  </si>
  <si>
    <t>文化旅游支出</t>
  </si>
  <si>
    <t>社会保障支出</t>
  </si>
  <si>
    <t>卫生健康支出</t>
  </si>
  <si>
    <t>节能环保支出</t>
  </si>
  <si>
    <t>城乡社区支出</t>
  </si>
  <si>
    <t>农林水支出</t>
  </si>
  <si>
    <t>交通运输支出</t>
  </si>
  <si>
    <t>公共安全支出</t>
  </si>
  <si>
    <t>总支出</t>
  </si>
  <si>
    <t>人均生产总值相关支出</t>
  </si>
  <si>
    <t>常住人口相关支出</t>
  </si>
  <si>
    <t>城镇化率相关支出</t>
  </si>
  <si>
    <t>人口密度相关支出</t>
  </si>
  <si>
    <t>森林覆盖率相关支出</t>
  </si>
  <si>
    <t>城镇生活污水集中处理率相关支出</t>
  </si>
  <si>
    <t>PM2.5相关支出</t>
  </si>
  <si>
    <t>NO₂相关支出</t>
  </si>
  <si>
    <t>SO₂相关支出</t>
  </si>
  <si>
    <t>地表水达标率相关支出</t>
  </si>
  <si>
    <t>水资源总量相关支出</t>
  </si>
  <si>
    <t>每万元GDP水耗相关支出</t>
  </si>
  <si>
    <t>人均用水量相关支出</t>
  </si>
  <si>
    <t>人均耕地面积相关支出</t>
  </si>
  <si>
    <t>游客数量相关支出</t>
  </si>
  <si>
    <t>交通指数相关支出</t>
  </si>
  <si>
    <t>环境指数相关支出</t>
  </si>
  <si>
    <t>海南省A级景区数量相关支出</t>
  </si>
  <si>
    <t>支出类别</t>
  </si>
  <si>
    <t>2012-2023年总支出(万元)</t>
  </si>
  <si>
    <t>年均支出(万元)</t>
  </si>
  <si>
    <t>构成比例(%)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</si>
</sst>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M13" sqref="M2:M13"/>
    </sheetView>
  </sheetViews>
  <sheetFormatPr defaultColWidth="9" defaultRowHeight="14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6">
      <c r="A2">
        <v>2012</v>
      </c>
      <c r="B2">
        <v>217256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107959</v>
      </c>
      <c r="J2" s="2">
        <v>0</v>
      </c>
      <c r="K2" s="2">
        <v>0</v>
      </c>
      <c r="L2" s="2">
        <f>B2+I2</f>
        <v>325215</v>
      </c>
      <c r="M2">
        <v>325215</v>
      </c>
      <c r="O2" s="2"/>
      <c r="P2" s="2"/>
    </row>
    <row r="3" spans="1:16">
      <c r="A3">
        <v>2013</v>
      </c>
      <c r="B3">
        <v>242341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121514</v>
      </c>
      <c r="J3" s="2">
        <v>0</v>
      </c>
      <c r="K3" s="2">
        <v>0</v>
      </c>
      <c r="L3" s="2">
        <f>B3+I3</f>
        <v>363855</v>
      </c>
      <c r="M3">
        <v>363855</v>
      </c>
      <c r="N3" s="2"/>
      <c r="O3" s="2"/>
      <c r="P3" s="2"/>
    </row>
    <row r="4" spans="1:16">
      <c r="A4">
        <v>2014</v>
      </c>
      <c r="B4">
        <v>272361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142347</v>
      </c>
      <c r="J4" s="2">
        <v>0</v>
      </c>
      <c r="K4" s="2">
        <v>0</v>
      </c>
      <c r="L4" s="2">
        <f>B4+I4</f>
        <v>414708</v>
      </c>
      <c r="M4">
        <v>414708</v>
      </c>
      <c r="N4" s="2"/>
      <c r="O4" s="2"/>
      <c r="P4" s="2"/>
    </row>
    <row r="5" spans="1:16">
      <c r="A5">
        <v>2015</v>
      </c>
      <c r="B5">
        <v>326709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186756</v>
      </c>
      <c r="J5" s="2">
        <v>0</v>
      </c>
      <c r="K5" s="2">
        <v>0</v>
      </c>
      <c r="L5" s="2">
        <f>B5+I5</f>
        <v>513465</v>
      </c>
      <c r="M5">
        <v>513465</v>
      </c>
      <c r="N5" s="2"/>
      <c r="O5" s="2"/>
      <c r="P5" s="2"/>
    </row>
    <row r="6" spans="1:16">
      <c r="A6">
        <v>2016</v>
      </c>
      <c r="B6">
        <v>354461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207543</v>
      </c>
      <c r="J6" s="2">
        <v>0</v>
      </c>
      <c r="K6" s="2">
        <v>0</v>
      </c>
      <c r="L6" s="2">
        <f>B6+I6</f>
        <v>562004</v>
      </c>
      <c r="M6">
        <v>562004</v>
      </c>
      <c r="N6" s="2"/>
      <c r="O6" s="2"/>
      <c r="P6" s="2"/>
    </row>
    <row r="7" spans="1:16">
      <c r="A7">
        <v>2017</v>
      </c>
      <c r="B7">
        <v>359020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174101</v>
      </c>
      <c r="J7" s="2">
        <v>0</v>
      </c>
      <c r="K7" s="2">
        <v>0</v>
      </c>
      <c r="L7" s="2">
        <f>B7+I7</f>
        <v>533121</v>
      </c>
      <c r="M7">
        <v>533121</v>
      </c>
      <c r="N7" s="2"/>
      <c r="O7" s="2"/>
      <c r="P7" s="2"/>
    </row>
    <row r="8" spans="1:16">
      <c r="A8">
        <v>2018</v>
      </c>
      <c r="B8">
        <v>211224</v>
      </c>
      <c r="C8">
        <v>31157</v>
      </c>
      <c r="D8">
        <v>40522</v>
      </c>
      <c r="E8">
        <v>106247</v>
      </c>
      <c r="F8">
        <v>97812</v>
      </c>
      <c r="G8">
        <v>79319</v>
      </c>
      <c r="H8">
        <v>265651</v>
      </c>
      <c r="I8">
        <v>198377</v>
      </c>
      <c r="J8" s="2">
        <v>41749</v>
      </c>
      <c r="K8" s="2">
        <v>96495</v>
      </c>
      <c r="L8" s="2">
        <f>B8+C8+D8+E8+F8+G8+H8+I8+J8+K8</f>
        <v>1168553</v>
      </c>
      <c r="M8">
        <v>1168553</v>
      </c>
      <c r="N8" s="2"/>
      <c r="O8" s="2"/>
      <c r="P8" s="2"/>
    </row>
    <row r="9" spans="1:16">
      <c r="A9">
        <v>2019</v>
      </c>
      <c r="B9">
        <v>224140</v>
      </c>
      <c r="C9">
        <v>142459</v>
      </c>
      <c r="D9">
        <v>70144</v>
      </c>
      <c r="E9">
        <v>127419</v>
      </c>
      <c r="F9">
        <v>118827</v>
      </c>
      <c r="G9">
        <v>84052</v>
      </c>
      <c r="H9">
        <v>319610</v>
      </c>
      <c r="I9">
        <v>217614</v>
      </c>
      <c r="J9" s="2">
        <v>74169</v>
      </c>
      <c r="K9" s="2">
        <v>102928</v>
      </c>
      <c r="L9" s="2">
        <f>B9+C9+D9+E9+F9+G9+H9+I9+J9+K9</f>
        <v>1481362</v>
      </c>
      <c r="M9">
        <v>1481362</v>
      </c>
      <c r="N9" s="2"/>
      <c r="O9" s="2"/>
      <c r="P9" s="2"/>
    </row>
    <row r="10" spans="1:16">
      <c r="A10">
        <v>2020</v>
      </c>
      <c r="B10">
        <v>237056</v>
      </c>
      <c r="C10">
        <v>150320</v>
      </c>
      <c r="D10">
        <v>83741</v>
      </c>
      <c r="E10">
        <v>131611</v>
      </c>
      <c r="F10">
        <v>178314</v>
      </c>
      <c r="G10">
        <v>85419</v>
      </c>
      <c r="H10">
        <v>321167</v>
      </c>
      <c r="I10">
        <v>225877</v>
      </c>
      <c r="J10" s="2">
        <v>116066</v>
      </c>
      <c r="K10" s="2">
        <v>103398</v>
      </c>
      <c r="L10" s="2">
        <f>B10+C10+D10+E10+F10+G10+H10+I10+J10+K10</f>
        <v>1632969</v>
      </c>
      <c r="M10">
        <v>1632969</v>
      </c>
      <c r="N10" s="2"/>
      <c r="O10" s="2"/>
      <c r="P10" s="2"/>
    </row>
    <row r="11" spans="1:16">
      <c r="A11">
        <v>2021</v>
      </c>
      <c r="B11">
        <v>242306</v>
      </c>
      <c r="C11">
        <v>158545</v>
      </c>
      <c r="D11">
        <v>43985</v>
      </c>
      <c r="E11">
        <v>133521</v>
      </c>
      <c r="F11">
        <v>121186</v>
      </c>
      <c r="G11">
        <v>85767</v>
      </c>
      <c r="H11">
        <v>431935</v>
      </c>
      <c r="I11">
        <v>226579</v>
      </c>
      <c r="J11" s="2">
        <v>98431</v>
      </c>
      <c r="K11" s="2">
        <v>101781</v>
      </c>
      <c r="L11" s="2">
        <f>B11+C11+D11+E11+F11+G11+H11+I11+J11+K11</f>
        <v>1644036</v>
      </c>
      <c r="M11">
        <v>1644036</v>
      </c>
      <c r="N11" s="2"/>
      <c r="O11" s="2"/>
      <c r="P11" s="2"/>
    </row>
    <row r="12" spans="1:16">
      <c r="A12">
        <v>2022</v>
      </c>
      <c r="B12">
        <v>246753</v>
      </c>
      <c r="C12">
        <v>180290</v>
      </c>
      <c r="D12">
        <v>35782</v>
      </c>
      <c r="E12">
        <v>147190</v>
      </c>
      <c r="F12">
        <v>343425</v>
      </c>
      <c r="G12">
        <v>74411</v>
      </c>
      <c r="H12">
        <v>439851</v>
      </c>
      <c r="I12">
        <v>228361</v>
      </c>
      <c r="J12" s="2">
        <v>148671</v>
      </c>
      <c r="K12" s="2">
        <v>107144</v>
      </c>
      <c r="L12" s="2">
        <f>B12+C12+D12+E12+F12+G12+H12+I12+J12+K12</f>
        <v>1951878</v>
      </c>
      <c r="M12">
        <v>1951878</v>
      </c>
      <c r="N12" s="2"/>
      <c r="O12" s="2"/>
      <c r="P12" s="2"/>
    </row>
    <row r="13" spans="1:16">
      <c r="A13">
        <v>2023</v>
      </c>
      <c r="B13">
        <v>267415</v>
      </c>
      <c r="C13">
        <v>205916</v>
      </c>
      <c r="D13">
        <v>76906</v>
      </c>
      <c r="E13">
        <v>218326</v>
      </c>
      <c r="F13">
        <v>259203</v>
      </c>
      <c r="G13">
        <v>23369</v>
      </c>
      <c r="H13">
        <v>217333</v>
      </c>
      <c r="I13">
        <v>228951</v>
      </c>
      <c r="J13" s="2">
        <v>178348</v>
      </c>
      <c r="K13" s="2">
        <v>106215</v>
      </c>
      <c r="L13" s="2">
        <f>B13+C13+D13+E13+F13+G13+H13+I13+J13+K13</f>
        <v>1781982</v>
      </c>
      <c r="M13">
        <v>1781982</v>
      </c>
      <c r="N13" s="2"/>
      <c r="O13" s="2"/>
      <c r="P13" s="2"/>
    </row>
    <row r="14" spans="1:16">
      <c r="J14" s="2"/>
      <c r="K14" s="2"/>
      <c r="L14" s="2"/>
      <c r="M14" s="2"/>
      <c r="N14" s="2"/>
      <c r="O14" s="2"/>
      <c r="P14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workbookViewId="0">
      <selection activeCell="A1" sqref="A1"/>
    </sheetView>
  </sheetViews>
  <sheetFormatPr defaultColWidth="9" defaultRowHeight="14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>
        <v>2012</v>
      </c>
      <c r="B2">
        <v>217256</v>
      </c>
      <c r="C2">
        <v>217256</v>
      </c>
      <c r="D2">
        <v>0</v>
      </c>
      <c r="E2">
        <v>0</v>
      </c>
      <c r="F2">
        <v>107959</v>
      </c>
      <c r="G2">
        <v>0</v>
      </c>
      <c r="H2">
        <v>0</v>
      </c>
      <c r="I2">
        <v>0</v>
      </c>
      <c r="J2">
        <v>0</v>
      </c>
      <c r="K2">
        <v>107959</v>
      </c>
      <c r="L2">
        <v>107959</v>
      </c>
      <c r="M2">
        <v>107959</v>
      </c>
      <c r="N2">
        <v>107959</v>
      </c>
      <c r="O2">
        <v>107959</v>
      </c>
      <c r="P2">
        <v>0</v>
      </c>
      <c r="Q2">
        <v>0</v>
      </c>
      <c r="R2">
        <v>0</v>
      </c>
      <c r="S2">
        <v>0</v>
      </c>
    </row>
    <row r="3" spans="1:19">
      <c r="A3">
        <v>2013</v>
      </c>
      <c r="B3">
        <v>242341</v>
      </c>
      <c r="C3">
        <v>242341</v>
      </c>
      <c r="D3">
        <v>0</v>
      </c>
      <c r="E3">
        <v>0</v>
      </c>
      <c r="F3">
        <v>121514</v>
      </c>
      <c r="G3">
        <v>0</v>
      </c>
      <c r="H3">
        <v>0</v>
      </c>
      <c r="I3">
        <v>0</v>
      </c>
      <c r="J3">
        <v>0</v>
      </c>
      <c r="K3">
        <v>121514</v>
      </c>
      <c r="L3">
        <v>121514</v>
      </c>
      <c r="M3">
        <v>121514</v>
      </c>
      <c r="N3">
        <v>121514</v>
      </c>
      <c r="O3">
        <v>121514</v>
      </c>
      <c r="P3">
        <v>0</v>
      </c>
      <c r="Q3">
        <v>0</v>
      </c>
      <c r="R3">
        <v>0</v>
      </c>
      <c r="S3">
        <v>0</v>
      </c>
    </row>
    <row r="4" spans="1:19">
      <c r="A4">
        <v>2014</v>
      </c>
      <c r="B4">
        <v>272361</v>
      </c>
      <c r="C4">
        <v>272361</v>
      </c>
      <c r="D4">
        <v>0</v>
      </c>
      <c r="E4">
        <v>0</v>
      </c>
      <c r="F4">
        <v>142347</v>
      </c>
      <c r="G4">
        <v>0</v>
      </c>
      <c r="H4">
        <v>0</v>
      </c>
      <c r="I4">
        <v>0</v>
      </c>
      <c r="J4">
        <v>0</v>
      </c>
      <c r="K4">
        <v>142347</v>
      </c>
      <c r="L4">
        <v>142347</v>
      </c>
      <c r="M4">
        <v>142347</v>
      </c>
      <c r="N4">
        <v>142347</v>
      </c>
      <c r="O4">
        <v>142347</v>
      </c>
      <c r="P4">
        <v>0</v>
      </c>
      <c r="Q4">
        <v>0</v>
      </c>
      <c r="R4">
        <v>0</v>
      </c>
      <c r="S4">
        <v>0</v>
      </c>
    </row>
    <row r="5" spans="1:19">
      <c r="A5">
        <v>2015</v>
      </c>
      <c r="B5">
        <v>326709</v>
      </c>
      <c r="C5">
        <v>326709</v>
      </c>
      <c r="D5">
        <v>0</v>
      </c>
      <c r="E5">
        <v>0</v>
      </c>
      <c r="F5">
        <v>186756</v>
      </c>
      <c r="G5">
        <v>0</v>
      </c>
      <c r="H5">
        <v>0</v>
      </c>
      <c r="I5">
        <v>0</v>
      </c>
      <c r="J5">
        <v>0</v>
      </c>
      <c r="K5">
        <v>186756</v>
      </c>
      <c r="L5">
        <v>186756</v>
      </c>
      <c r="M5">
        <v>186756</v>
      </c>
      <c r="N5">
        <v>186756</v>
      </c>
      <c r="O5">
        <v>186756</v>
      </c>
      <c r="P5">
        <v>0</v>
      </c>
      <c r="Q5">
        <v>0</v>
      </c>
      <c r="R5">
        <v>0</v>
      </c>
      <c r="S5">
        <v>0</v>
      </c>
    </row>
    <row r="6" spans="1:19">
      <c r="A6">
        <v>2016</v>
      </c>
      <c r="B6">
        <v>354461</v>
      </c>
      <c r="C6">
        <v>354461</v>
      </c>
      <c r="D6">
        <v>0</v>
      </c>
      <c r="E6">
        <v>0</v>
      </c>
      <c r="F6">
        <v>207543</v>
      </c>
      <c r="G6">
        <v>0</v>
      </c>
      <c r="H6">
        <v>0</v>
      </c>
      <c r="I6">
        <v>0</v>
      </c>
      <c r="J6">
        <v>0</v>
      </c>
      <c r="K6">
        <v>207543</v>
      </c>
      <c r="L6">
        <v>207543</v>
      </c>
      <c r="M6">
        <v>207543</v>
      </c>
      <c r="N6">
        <v>207543</v>
      </c>
      <c r="O6">
        <v>207543</v>
      </c>
      <c r="P6">
        <v>0</v>
      </c>
      <c r="Q6">
        <v>0</v>
      </c>
      <c r="R6">
        <v>0</v>
      </c>
      <c r="S6">
        <v>0</v>
      </c>
    </row>
    <row r="7" spans="1:19">
      <c r="A7">
        <v>2017</v>
      </c>
      <c r="B7">
        <v>359020</v>
      </c>
      <c r="C7">
        <v>359020</v>
      </c>
      <c r="D7">
        <v>0</v>
      </c>
      <c r="E7">
        <v>0</v>
      </c>
      <c r="F7">
        <v>174101</v>
      </c>
      <c r="G7">
        <v>0</v>
      </c>
      <c r="H7">
        <v>0</v>
      </c>
      <c r="I7">
        <v>0</v>
      </c>
      <c r="J7">
        <v>0</v>
      </c>
      <c r="K7">
        <v>174101</v>
      </c>
      <c r="L7">
        <v>174101</v>
      </c>
      <c r="M7">
        <v>174101</v>
      </c>
      <c r="N7">
        <v>174101</v>
      </c>
      <c r="O7">
        <v>174101</v>
      </c>
      <c r="P7">
        <v>0</v>
      </c>
      <c r="Q7">
        <v>0</v>
      </c>
      <c r="R7">
        <v>0</v>
      </c>
      <c r="S7">
        <v>0</v>
      </c>
    </row>
    <row r="8" spans="1:19">
      <c r="A8">
        <v>2018</v>
      </c>
      <c r="B8">
        <v>284130</v>
      </c>
      <c r="C8">
        <v>415283</v>
      </c>
      <c r="D8">
        <v>265651</v>
      </c>
      <c r="E8">
        <v>362146</v>
      </c>
      <c r="F8">
        <v>277696</v>
      </c>
      <c r="G8">
        <v>344970</v>
      </c>
      <c r="H8">
        <v>79319</v>
      </c>
      <c r="I8">
        <v>79319</v>
      </c>
      <c r="J8">
        <v>79319</v>
      </c>
      <c r="K8">
        <v>277696</v>
      </c>
      <c r="L8">
        <v>198377</v>
      </c>
      <c r="M8">
        <v>277696</v>
      </c>
      <c r="N8">
        <v>198377</v>
      </c>
      <c r="O8">
        <v>198377</v>
      </c>
      <c r="P8">
        <v>40522</v>
      </c>
      <c r="Q8">
        <v>41749</v>
      </c>
      <c r="R8">
        <v>79319</v>
      </c>
      <c r="S8">
        <v>40522</v>
      </c>
    </row>
    <row r="9" spans="1:19">
      <c r="A9">
        <v>2019</v>
      </c>
      <c r="B9">
        <v>440768</v>
      </c>
      <c r="C9">
        <v>470386</v>
      </c>
      <c r="D9">
        <v>319610</v>
      </c>
      <c r="E9">
        <v>422538</v>
      </c>
      <c r="F9">
        <v>301666</v>
      </c>
      <c r="G9">
        <v>403662</v>
      </c>
      <c r="H9">
        <v>84052</v>
      </c>
      <c r="I9">
        <v>84052</v>
      </c>
      <c r="J9">
        <v>84052</v>
      </c>
      <c r="K9">
        <v>301666</v>
      </c>
      <c r="L9">
        <v>217614</v>
      </c>
      <c r="M9">
        <v>301666</v>
      </c>
      <c r="N9">
        <v>217614</v>
      </c>
      <c r="O9">
        <v>217614</v>
      </c>
      <c r="P9">
        <v>70144</v>
      </c>
      <c r="Q9">
        <v>74169</v>
      </c>
      <c r="R9">
        <v>84052</v>
      </c>
      <c r="S9">
        <v>70144</v>
      </c>
    </row>
    <row r="10" spans="1:19">
      <c r="A10">
        <v>2020</v>
      </c>
      <c r="B10">
        <v>503442</v>
      </c>
      <c r="C10">
        <v>546981</v>
      </c>
      <c r="D10">
        <v>321167</v>
      </c>
      <c r="E10">
        <v>424565</v>
      </c>
      <c r="F10">
        <v>311296</v>
      </c>
      <c r="G10">
        <v>406586</v>
      </c>
      <c r="H10">
        <v>85419</v>
      </c>
      <c r="I10">
        <v>85419</v>
      </c>
      <c r="J10">
        <v>85419</v>
      </c>
      <c r="K10">
        <v>311296</v>
      </c>
      <c r="L10">
        <v>225877</v>
      </c>
      <c r="M10">
        <v>311296</v>
      </c>
      <c r="N10">
        <v>225877</v>
      </c>
      <c r="O10">
        <v>225877</v>
      </c>
      <c r="P10">
        <v>83741</v>
      </c>
      <c r="Q10">
        <v>116066</v>
      </c>
      <c r="R10">
        <v>85419</v>
      </c>
      <c r="S10">
        <v>83741</v>
      </c>
    </row>
    <row r="11" spans="1:19">
      <c r="A11">
        <v>2021</v>
      </c>
      <c r="B11">
        <v>499282</v>
      </c>
      <c r="C11">
        <v>497013</v>
      </c>
      <c r="D11">
        <v>431935</v>
      </c>
      <c r="E11">
        <v>533716</v>
      </c>
      <c r="F11">
        <v>312346</v>
      </c>
      <c r="G11">
        <v>517702</v>
      </c>
      <c r="H11">
        <v>85767</v>
      </c>
      <c r="I11">
        <v>85767</v>
      </c>
      <c r="J11">
        <v>85767</v>
      </c>
      <c r="K11">
        <v>312346</v>
      </c>
      <c r="L11">
        <v>226579</v>
      </c>
      <c r="M11">
        <v>312346</v>
      </c>
      <c r="N11">
        <v>226579</v>
      </c>
      <c r="O11">
        <v>226579</v>
      </c>
      <c r="P11">
        <v>43985</v>
      </c>
      <c r="Q11">
        <v>98431</v>
      </c>
      <c r="R11">
        <v>85767</v>
      </c>
      <c r="S11">
        <v>43985</v>
      </c>
    </row>
    <row r="12" spans="1:19">
      <c r="A12">
        <v>2022</v>
      </c>
      <c r="B12">
        <v>575714</v>
      </c>
      <c r="C12">
        <v>737368</v>
      </c>
      <c r="D12">
        <v>439851</v>
      </c>
      <c r="E12">
        <v>546995</v>
      </c>
      <c r="F12">
        <v>302772</v>
      </c>
      <c r="G12">
        <v>514262</v>
      </c>
      <c r="H12">
        <v>74411</v>
      </c>
      <c r="I12">
        <v>74411</v>
      </c>
      <c r="J12">
        <v>74411</v>
      </c>
      <c r="K12">
        <v>302772</v>
      </c>
      <c r="L12">
        <v>228361</v>
      </c>
      <c r="M12">
        <v>302772</v>
      </c>
      <c r="N12">
        <v>228361</v>
      </c>
      <c r="O12">
        <v>228361</v>
      </c>
      <c r="P12">
        <v>35782</v>
      </c>
      <c r="Q12">
        <v>148671</v>
      </c>
      <c r="R12">
        <v>74411</v>
      </c>
      <c r="S12">
        <v>35782</v>
      </c>
    </row>
    <row r="13" spans="1:19">
      <c r="A13">
        <v>2023</v>
      </c>
      <c r="B13">
        <v>651679</v>
      </c>
      <c r="C13">
        <v>744944</v>
      </c>
      <c r="D13">
        <v>217333</v>
      </c>
      <c r="E13">
        <v>323548</v>
      </c>
      <c r="F13">
        <v>252320</v>
      </c>
      <c r="G13">
        <v>240702</v>
      </c>
      <c r="H13">
        <v>23369</v>
      </c>
      <c r="I13">
        <v>23369</v>
      </c>
      <c r="J13">
        <v>23369</v>
      </c>
      <c r="K13">
        <v>252320</v>
      </c>
      <c r="L13">
        <v>228951</v>
      </c>
      <c r="M13">
        <v>252320</v>
      </c>
      <c r="N13">
        <v>228951</v>
      </c>
      <c r="O13">
        <v>228951</v>
      </c>
      <c r="P13">
        <v>76906</v>
      </c>
      <c r="Q13">
        <v>178348</v>
      </c>
      <c r="R13">
        <v>23369</v>
      </c>
      <c r="S13">
        <v>76906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30</v>
      </c>
      <c r="B1" s="1" t="s">
        <v>31</v>
      </c>
      <c r="C1" s="1" t="s">
        <v>32</v>
      </c>
      <c r="D1" s="1" t="s">
        <v>33</v>
      </c>
    </row>
    <row r="2" spans="1:4">
      <c r="A2" t="s">
        <v>1</v>
      </c>
      <c r="B2">
        <v>3201042</v>
      </c>
      <c r="C2">
        <v>266753.5</v>
      </c>
      <c r="D2">
        <v>25.8708778073292</v>
      </c>
    </row>
    <row r="3" spans="1:4">
      <c r="A3" t="s">
        <v>2</v>
      </c>
      <c r="B3">
        <v>868687</v>
      </c>
      <c r="C3">
        <v>72390.5833333333</v>
      </c>
      <c r="D3">
        <v>7.0207436296729</v>
      </c>
    </row>
    <row r="4" spans="1:4">
      <c r="A4" t="s">
        <v>3</v>
      </c>
      <c r="B4">
        <v>351080</v>
      </c>
      <c r="C4">
        <v>29256.6666666667</v>
      </c>
      <c r="D4">
        <v>2.83743474174882</v>
      </c>
    </row>
    <row r="5" spans="1:4">
      <c r="A5" t="s">
        <v>4</v>
      </c>
      <c r="B5">
        <v>864314</v>
      </c>
      <c r="C5">
        <v>72026.1666666667</v>
      </c>
      <c r="D5">
        <v>6.98540096667396</v>
      </c>
    </row>
    <row r="6" spans="1:4">
      <c r="A6" t="s">
        <v>5</v>
      </c>
      <c r="B6">
        <v>1118767</v>
      </c>
      <c r="C6">
        <v>93230.5833333333</v>
      </c>
      <c r="D6">
        <v>9.04189459303324</v>
      </c>
    </row>
    <row r="7" spans="1:4">
      <c r="A7" t="s">
        <v>6</v>
      </c>
      <c r="B7">
        <v>432337</v>
      </c>
      <c r="C7">
        <v>36028.0833333333</v>
      </c>
      <c r="D7">
        <v>3.49415524650639</v>
      </c>
    </row>
    <row r="8" spans="1:4">
      <c r="A8" t="s">
        <v>7</v>
      </c>
      <c r="B8">
        <v>1995547</v>
      </c>
      <c r="C8">
        <v>166295.583333333</v>
      </c>
      <c r="D8">
        <v>16.1280459912061</v>
      </c>
    </row>
    <row r="9" spans="1:4">
      <c r="A9" t="s">
        <v>8</v>
      </c>
      <c r="B9">
        <v>2265979</v>
      </c>
      <c r="C9">
        <v>188831.583333333</v>
      </c>
      <c r="D9">
        <v>18.3136821769205</v>
      </c>
    </row>
    <row r="10" spans="1:4">
      <c r="A10" t="s">
        <v>9</v>
      </c>
      <c r="B10">
        <v>657434</v>
      </c>
      <c r="C10">
        <v>54786.1666666667</v>
      </c>
      <c r="D10">
        <v>5.31339316397088</v>
      </c>
    </row>
    <row r="11" spans="1:4">
      <c r="A11" t="s">
        <v>10</v>
      </c>
      <c r="B11">
        <v>617961</v>
      </c>
      <c r="C11">
        <v>51496.75</v>
      </c>
      <c r="D11">
        <v>4.99437168293792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基础支出数据</vt:lpstr>
      <vt:lpstr>各因素相关支出</vt:lpstr>
      <vt:lpstr>支出汇总统计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Annoying orange</cp:lastModifiedBy>
  <dcterms:created xsi:type="dcterms:W3CDTF">2025-11-30T09:27:00Z</dcterms:created>
  <dcterms:modified xsi:type="dcterms:W3CDTF">2025-11-30T11:41:00Z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FAC1B90B09FB490F97A2293BF8AFE26C_12</vt:lpwstr>
  </property>
  <property fmtid="{D5CDD505-2E9C-101B-9397-08002B2CF9AE}" pid="3" name="KSOProductBuildVer">
    <vt:lpwstr>2052-12.1.0.23542</vt:lpwstr>
  </property>
</Properties>
</file>