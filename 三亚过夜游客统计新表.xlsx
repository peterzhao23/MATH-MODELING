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  <sheet name="Sheet11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<sst xmlns="http://schemas.openxmlformats.org/spreadsheetml/2006/main" count="273" uniqueCount="187">
  <si>
    <t>2018年</t>
  </si>
  <si>
    <t>2019年</t>
  </si>
  <si>
    <t>2020年</t>
  </si>
  <si>
    <t>2021年</t>
  </si>
  <si>
    <t>2022年</t>
  </si>
  <si>
    <t>2023年</t>
  </si>
  <si>
    <t>指标名称</t>
  </si>
  <si>
    <t>一、接待过夜游客人数(万人次)</t>
  </si>
  <si>
    <t>1.国际旅游者</t>
  </si>
  <si>
    <t>2.国内旅客</t>
  </si>
  <si>
    <t xml:space="preserve"> </t>
  </si>
  <si>
    <t>年份</t>
  </si>
  <si>
    <t>旅游总收入（亿元）</t>
  </si>
  <si>
    <t>国内旅游收入（亿元）</t>
  </si>
  <si>
    <t>国际旅游收入（万美元）</t>
  </si>
  <si>
    <t>公路通车里程</t>
  </si>
  <si>
    <t>客船</t>
  </si>
  <si>
    <t>客位</t>
  </si>
  <si>
    <t>铁路营业里程（公里）</t>
  </si>
  <si>
    <t>民航主要航线</t>
  </si>
  <si>
    <t>1351</t>
  </si>
  <si>
    <t>14988</t>
  </si>
  <si>
    <t>157</t>
  </si>
  <si>
    <t>176</t>
  </si>
  <si>
    <t>14538</t>
  </si>
  <si>
    <t>143</t>
  </si>
  <si>
    <t>1555</t>
  </si>
  <si>
    <t>207</t>
  </si>
  <si>
    <t>8972</t>
  </si>
  <si>
    <t>145</t>
  </si>
  <si>
    <t>1603</t>
  </si>
  <si>
    <t>223</t>
  </si>
  <si>
    <t>9335</t>
  </si>
  <si>
    <t>163</t>
  </si>
  <si>
    <t>1744</t>
  </si>
  <si>
    <t>237</t>
  </si>
  <si>
    <t>10310</t>
  </si>
  <si>
    <t>1813</t>
  </si>
  <si>
    <t>243</t>
  </si>
  <si>
    <t>10516</t>
  </si>
  <si>
    <t>181</t>
  </si>
  <si>
    <t>1951</t>
  </si>
  <si>
    <t>10675</t>
  </si>
  <si>
    <t>210</t>
  </si>
  <si>
    <t>1985</t>
  </si>
  <si>
    <t>11210</t>
  </si>
  <si>
    <t>195</t>
  </si>
  <si>
    <t>1995</t>
  </si>
  <si>
    <t>239</t>
  </si>
  <si>
    <t>11769</t>
  </si>
  <si>
    <t>156</t>
  </si>
  <si>
    <t>2001</t>
  </si>
  <si>
    <t>193</t>
  </si>
  <si>
    <t>10199</t>
  </si>
  <si>
    <t>153</t>
  </si>
  <si>
    <t>1908</t>
  </si>
  <si>
    <t>198</t>
  </si>
  <si>
    <t>11204</t>
  </si>
  <si>
    <t>单位</t>
  </si>
  <si>
    <t>总计</t>
  </si>
  <si>
    <t>国道</t>
  </si>
  <si>
    <t>省道</t>
  </si>
  <si>
    <t>市（县）道</t>
  </si>
  <si>
    <t>乡（村）道</t>
  </si>
  <si>
    <t>公里</t>
  </si>
  <si>
    <t>#晴雨通车</t>
  </si>
  <si>
    <t>一级路</t>
  </si>
  <si>
    <t>二级路</t>
  </si>
  <si>
    <t>三级路</t>
  </si>
  <si>
    <t>四级路</t>
  </si>
  <si>
    <t>等外路里程</t>
  </si>
  <si>
    <t>#高级及次高级</t>
  </si>
  <si>
    <t>中级</t>
  </si>
  <si>
    <t>低级</t>
  </si>
  <si>
    <t>桥梁数量</t>
  </si>
  <si>
    <t>座</t>
  </si>
  <si>
    <t>桥梁长度</t>
  </si>
  <si>
    <t>米</t>
  </si>
  <si>
    <t>永久性桥梁</t>
  </si>
  <si>
    <t>绿化里程</t>
  </si>
  <si>
    <t>城市建成区绿化覆盖率</t>
  </si>
  <si>
    <t>城市建成区绿地率</t>
  </si>
  <si>
    <t>人均公共绿地面积（㎡）</t>
  </si>
  <si>
    <t>森林覆盖率</t>
  </si>
  <si>
    <t>地表水达标率</t>
  </si>
  <si>
    <t>城镇生活污水集中处理率</t>
  </si>
  <si>
    <t xml:space="preserve">总收入 </t>
  </si>
  <si>
    <t>游客数量（万人）</t>
  </si>
  <si>
    <t>交通指数</t>
  </si>
  <si>
    <t>环境指数</t>
  </si>
  <si>
    <t>海南省A级景区数量</t>
  </si>
  <si>
    <t>A级别景区累计数量</t>
  </si>
  <si>
    <t>人均生产总值（元）</t>
  </si>
  <si>
    <t>常住人口 (万人)</t>
  </si>
  <si>
    <t>城镇化率 (%)</t>
  </si>
  <si>
    <t>人口密度（人/平方公里）</t>
  </si>
  <si>
    <t>PM2.5 (μg/m³)</t>
  </si>
  <si>
    <t>NO₂ (μg/m³)</t>
  </si>
  <si>
    <t>SO₂ (μg/m³)</t>
  </si>
  <si>
    <t>水资源总量（亿立方米）</t>
  </si>
  <si>
    <t>每万元GDP水耗（立方米）</t>
  </si>
  <si>
    <t>人均用水量（平方米/人）</t>
  </si>
  <si>
    <t>人均耕地面积（公顷）</t>
  </si>
  <si>
    <t>评价领域</t>
  </si>
  <si>
    <t>评价指标</t>
  </si>
  <si>
    <t>权重</t>
  </si>
  <si>
    <t>目标值</t>
  </si>
  <si>
    <t>（一）经济发展及民生投入</t>
  </si>
  <si>
    <t>1.人均GDP（2010年不变价）</t>
  </si>
  <si>
    <t>元</t>
  </si>
  <si>
    <t>≥57000</t>
  </si>
  <si>
    <t>2.第三产业增加值占GDP比重</t>
  </si>
  <si>
    <t>%</t>
  </si>
  <si>
    <t>≥50</t>
  </si>
  <si>
    <t>3.民生投入占一般预算财政支出比重</t>
  </si>
  <si>
    <t>≥80</t>
  </si>
  <si>
    <t>（二）收入分配</t>
  </si>
  <si>
    <t>4.城乡居民人均收入（2010年不变价）</t>
  </si>
  <si>
    <t>≥25000</t>
  </si>
  <si>
    <t>5.城乡居民收入占GDP比重</t>
  </si>
  <si>
    <t>6.城乡居民收入比</t>
  </si>
  <si>
    <t>≤2.8</t>
  </si>
  <si>
    <t>（三）就业与社会保障</t>
  </si>
  <si>
    <t>7.城镇调查失业率</t>
  </si>
  <si>
    <t>≤6</t>
  </si>
  <si>
    <t>8.基本社会保障覆盖率</t>
  </si>
  <si>
    <t>≥95</t>
  </si>
  <si>
    <t>9.享受最低生活保障人口比例</t>
  </si>
  <si>
    <t>≤2</t>
  </si>
  <si>
    <t>（四）教育医疗</t>
  </si>
  <si>
    <t>10.平均受教育年限</t>
  </si>
  <si>
    <t>年</t>
  </si>
  <si>
    <t>≥10.5</t>
  </si>
  <si>
    <t>11.每千人口拥有职业医师数</t>
  </si>
  <si>
    <t>人</t>
  </si>
  <si>
    <t>≥1.95</t>
  </si>
  <si>
    <t>12.平均预期寿命</t>
  </si>
  <si>
    <t>岁</t>
  </si>
  <si>
    <t>≥75</t>
  </si>
  <si>
    <t>（五）文化体育</t>
  </si>
  <si>
    <t>13.文化及相关产业增加值占GDP比重</t>
  </si>
  <si>
    <t>≥5</t>
  </si>
  <si>
    <t>14."三馆一站"覆盖率</t>
  </si>
  <si>
    <t>≥110</t>
  </si>
  <si>
    <t>（六）人居环境</t>
  </si>
  <si>
    <t>15.环境质量指数</t>
  </si>
  <si>
    <t>16.社会安全指数</t>
  </si>
  <si>
    <t>≥100</t>
  </si>
  <si>
    <t>（七）身心健康</t>
  </si>
  <si>
    <t>17.身体心理健康度</t>
  </si>
  <si>
    <t>18.自由支配时间充足率</t>
  </si>
  <si>
    <t>19.休闲娱乐活动丰富度</t>
  </si>
  <si>
    <t>（八）物质保障</t>
  </si>
  <si>
    <t>20.经济收入满意度</t>
  </si>
  <si>
    <t>21.住房条件满意度</t>
  </si>
  <si>
    <t>22.社会保障满意度</t>
  </si>
  <si>
    <t>（九）生活便利</t>
  </si>
  <si>
    <t>23.交通状况满意度</t>
  </si>
  <si>
    <t>24.医疗条件满意度</t>
  </si>
  <si>
    <t>25.教育状况满意度</t>
  </si>
  <si>
    <t>26.其他生活服务设施满意度</t>
  </si>
  <si>
    <t>（十）环境舒畅</t>
  </si>
  <si>
    <t>27.社会秩序满意度</t>
  </si>
  <si>
    <t>28.自然生态环境满意度</t>
  </si>
  <si>
    <t>29.公共安全满意度</t>
  </si>
  <si>
    <t>30.居住环境满意度</t>
  </si>
  <si>
    <t>（十一）自我价值实现</t>
  </si>
  <si>
    <t>31.工作满意度</t>
  </si>
  <si>
    <t>32.社会认同感满意度</t>
  </si>
  <si>
    <t>33.家庭生活和谐度</t>
  </si>
  <si>
    <t>34.未来预期自信度</t>
  </si>
  <si>
    <t xml:space="preserve">旅游总收入（亿元） </t>
  </si>
  <si>
    <t>政府总支出（万元）</t>
  </si>
  <si>
    <t>总支出</t>
  </si>
  <si>
    <t xml:space="preserve">  年份   教育支出   科技支出  文化旅游支出  社会保障支出  卫生健康支出  节能环保支出  城乡社区支出  农林水支出  交通运输支出  公共安全支出</t>
  </si>
  <si>
    <t>2012 217256      0       0       0       0       0       0 107959       0       0</t>
  </si>
  <si>
    <t>2013 242341      0       0       0       0       0       0 121514       0       0</t>
  </si>
  <si>
    <t>2014 272361      0       0       0       0       0       0 142347       0       0</t>
  </si>
  <si>
    <t>2015 326709      0       0       0       0       0       0 186756       0       0</t>
  </si>
  <si>
    <t>2016 354461      0       0       0       0       0       0 207543       0       0</t>
  </si>
  <si>
    <t>2017 359020      0       0       0       0       0       0 174101       0       0</t>
  </si>
  <si>
    <t>2018 211224  31157   40522  106247   97812   79319  265651 198377   41749   96495</t>
  </si>
  <si>
    <t>2019 224140 142459   70144  127419  118827   84052  319610 217614   74169  102928</t>
  </si>
  <si>
    <t>2020 237056 150320   83741  131611  178314   85419  321167 225877  116066  103398</t>
  </si>
  <si>
    <t>2021 242306 158545   43985  133521  121186   85767  431935 226579   98431  101781</t>
  </si>
  <si>
    <t>2022 246753 180290   35782  147190  343425   74411  439851 228361  148671  107144</t>
  </si>
  <si>
    <t>2023 267415 205916   76906  218326  259203   23369  217333 228951  178348  106215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</si>
</sst>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A0A0A"/>
      <name val="报宋"/>
      <charset val="134"/>
    </font>
    <font>
      <sz val="11"/>
      <color rgb="FF808080"/>
      <name val="宋体"/>
      <charset val="134"/>
      <scheme val="minor"/>
    </font>
    <font>
      <sz val="7.5"/>
      <color theme="1"/>
      <name val="Segoe UI"/>
      <charset val="134"/>
    </font>
    <font>
      <b/>
      <sz val="1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>
      <alignment vertical="center"/>
    </xf>
    <xf numFmtId="176" fontId="0" fillId="0" borderId="0" xfId="0" applyNumberFormat="1"/>
    <xf numFmtId="0" fontId="0" fillId="0" borderId="0" xfId="0" applyAlignment="1">
      <alignment wrapText="1"/>
    </xf>
    <xf numFmtId="0" fontId="0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3" fillId="0" borderId="4" xfId="0" applyFont="1" applyFill="1" applyBorder="1" applyAlignment="1">
      <alignment horizontal="right" vertical="center" wrapText="1"/>
    </xf>
    <xf numFmtId="0" fontId="0" fillId="0" borderId="0" xfId="0" applyFont="1" applyAlignment="1">
      <alignment horizontal="right" vertical="top"/>
    </xf>
    <xf numFmtId="0" fontId="4" fillId="0" borderId="0" xfId="0" applyFont="1"/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selection activeCell="B18" sqref="B8:B18"/>
    </sheetView>
  </sheetViews>
  <sheetFormatPr defaultColWidth="9" defaultRowHeight="14"/>
  <cols>
    <col min="1" max="1" width="23.7272727272727" customWidth="1"/>
    <col min="2" max="9" width="29.3636363636364" customWidth="1"/>
    <col min="10" max="10" width="35.6363636363636" customWidth="1"/>
    <col min="11" max="11" width="24" customWidth="1"/>
    <col min="12" max="12" width="25.1818181818182" customWidth="1"/>
    <col min="13" max="14" width="9.54545454545454"/>
  </cols>
  <sheetData>
    <row r="1" spans="1:14">
      <c r="A1" s="6"/>
      <c r="B1" s="6"/>
      <c r="C1" s="6"/>
      <c r="D1" s="6"/>
      <c r="E1" s="6"/>
      <c r="F1" s="6"/>
      <c r="G1" s="6"/>
      <c r="H1" s="6"/>
      <c r="I1" s="6" t="s">
        <v>0</v>
      </c>
      <c r="J1" s="6" t="s">
        <v>1</v>
      </c>
      <c r="K1" s="6" t="s">
        <v>2</v>
      </c>
      <c r="L1" s="6" t="s">
        <v>3</v>
      </c>
      <c r="M1" s="6" t="s">
        <v>4</v>
      </c>
      <c r="N1" s="6" t="s">
        <v>5</v>
      </c>
    </row>
    <row r="2" spans="1:14">
      <c r="I2">
        <v>20996981</v>
      </c>
      <c r="J2">
        <v>22942630</v>
      </c>
      <c r="K2">
        <v>17144047</v>
      </c>
      <c r="L2">
        <v>21620435</v>
      </c>
      <c r="M2">
        <v>13147895</v>
      </c>
      <c r="N2">
        <v>25711846</v>
      </c>
    </row>
    <row r="3" spans="1:14">
      <c r="I3">
        <v>716158</v>
      </c>
      <c r="J3">
        <v>906278</v>
      </c>
      <c r="K3">
        <v>154060</v>
      </c>
      <c r="L3">
        <v>141869</v>
      </c>
      <c r="M3">
        <v>114693</v>
      </c>
      <c r="N3">
        <v>297183</v>
      </c>
    </row>
    <row r="4" spans="1:14">
      <c r="I4">
        <v>20280823</v>
      </c>
      <c r="J4">
        <v>22036352</v>
      </c>
      <c r="K4">
        <v>16989987</v>
      </c>
      <c r="L4">
        <v>21478566</v>
      </c>
      <c r="M4">
        <v>13033202</v>
      </c>
      <c r="N4">
        <v>25414663</v>
      </c>
    </row>
    <row r="6" spans="1:14">
      <c r="A6" s="6" t="s">
        <v>6</v>
      </c>
      <c r="B6" t="s">
        <v>7</v>
      </c>
      <c r="C6" t="s">
        <v>8</v>
      </c>
      <c r="D6" t="s">
        <v>9</v>
      </c>
    </row>
    <row r="7" spans="1:14">
      <c r="A7">
        <v>2012</v>
      </c>
      <c r="B7">
        <v>1102.2228</v>
      </c>
      <c r="C7">
        <v>48.1437</v>
      </c>
      <c r="D7">
        <v>1054.0791</v>
      </c>
    </row>
    <row r="8" spans="1:14">
      <c r="A8">
        <v>2013</v>
      </c>
      <c r="B8">
        <v>1228.3977</v>
      </c>
      <c r="C8">
        <v>48.1851</v>
      </c>
      <c r="D8">
        <v>1180.2126</v>
      </c>
    </row>
    <row r="9" spans="1:14">
      <c r="A9">
        <v>2014</v>
      </c>
      <c r="B9">
        <v>1352.7615</v>
      </c>
      <c r="C9">
        <v>38.8637</v>
      </c>
      <c r="D9">
        <v>1313.8978</v>
      </c>
    </row>
    <row r="10" spans="1:14">
      <c r="A10">
        <v>2015</v>
      </c>
      <c r="B10">
        <v>1495.7271</v>
      </c>
      <c r="C10">
        <v>35.8184</v>
      </c>
      <c r="D10">
        <v>1459.9087</v>
      </c>
    </row>
    <row r="11" spans="1:14">
      <c r="A11" s="12">
        <v>2016</v>
      </c>
      <c r="B11">
        <v>1651.5782</v>
      </c>
      <c r="C11">
        <v>44.8857</v>
      </c>
      <c r="D11">
        <v>1606.6925</v>
      </c>
    </row>
    <row r="12" spans="1:14">
      <c r="A12">
        <v>2017</v>
      </c>
      <c r="B12">
        <v>1830.9674</v>
      </c>
      <c r="C12">
        <v>69.2798</v>
      </c>
      <c r="D12">
        <v>1761.6876</v>
      </c>
    </row>
    <row r="13" spans="1:14">
      <c r="A13">
        <v>2018</v>
      </c>
      <c r="B13">
        <v>2099.6981</v>
      </c>
      <c r="C13">
        <v>71.6158</v>
      </c>
      <c r="D13">
        <v>2028.0823</v>
      </c>
    </row>
    <row r="14" spans="1:14">
      <c r="A14">
        <v>2019</v>
      </c>
      <c r="B14" s="3">
        <v>2294.263</v>
      </c>
      <c r="C14">
        <v>90.6278</v>
      </c>
      <c r="D14">
        <v>2203.6352</v>
      </c>
    </row>
    <row r="15" spans="1:14">
      <c r="A15">
        <v>2020</v>
      </c>
      <c r="B15">
        <v>1714.4047</v>
      </c>
      <c r="C15" s="3">
        <v>15.406</v>
      </c>
      <c r="D15">
        <v>1698.9987</v>
      </c>
    </row>
    <row r="16" spans="1:14">
      <c r="A16">
        <v>2021</v>
      </c>
      <c r="B16">
        <v>2162.0435</v>
      </c>
      <c r="C16">
        <v>14.1869</v>
      </c>
      <c r="D16">
        <v>2147.8566</v>
      </c>
    </row>
    <row r="17" spans="1:16">
      <c r="A17">
        <v>2022</v>
      </c>
      <c r="B17">
        <v>1314.7895</v>
      </c>
      <c r="C17">
        <v>11.4693</v>
      </c>
      <c r="D17">
        <v>1303.3202</v>
      </c>
    </row>
    <row r="18" spans="1:16">
      <c r="A18">
        <v>2023</v>
      </c>
      <c r="B18">
        <v>2571.1846</v>
      </c>
      <c r="C18">
        <v>29.7183</v>
      </c>
      <c r="D18">
        <v>2541.4663</v>
      </c>
    </row>
    <row r="19" spans="1:16">
      <c r="A19">
        <v>2024</v>
      </c>
      <c r="B19" s="13">
        <v>2615.52</v>
      </c>
      <c r="C19" s="13">
        <v>75.07</v>
      </c>
      <c r="D19" s="13">
        <v>2540.44</v>
      </c>
    </row>
    <row r="24" spans="1:16">
      <c r="A24" s="14"/>
      <c r="B24" s="14"/>
      <c r="C24" s="14"/>
    </row>
    <row r="25" spans="1:16">
      <c r="A25" s="14"/>
      <c r="B25" s="14"/>
      <c r="C25" s="14"/>
    </row>
    <row r="26" spans="1:16">
      <c r="A26" s="14"/>
      <c r="B26" s="14"/>
      <c r="C26" s="14"/>
    </row>
    <row r="27" spans="1:16">
      <c r="A27" s="14"/>
      <c r="B27" s="14"/>
      <c r="C27" s="14"/>
    </row>
    <row r="28" spans="1:16">
      <c r="A28" s="14"/>
      <c r="B28" s="14"/>
      <c r="C28" s="14"/>
      <c r="D28" s="15"/>
      <c r="E28" s="15"/>
      <c r="F28" s="15"/>
      <c r="G28" s="15"/>
      <c r="H28" s="15"/>
      <c r="I28" s="16"/>
      <c r="J28" s="16"/>
      <c r="K28" s="16"/>
      <c r="L28" s="16"/>
      <c r="M28" s="16"/>
      <c r="N28" s="16"/>
      <c r="O28" s="16"/>
      <c r="P28" s="16"/>
    </row>
    <row r="29" spans="1:16">
      <c r="A29" s="14"/>
      <c r="B29" s="14"/>
      <c r="C29" s="14"/>
    </row>
    <row r="30" spans="1:16">
      <c r="A30" s="17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C2" sqref="C2:C13"/>
    </sheetView>
  </sheetViews>
  <sheetFormatPr defaultColWidth="8.72727272727273" defaultRowHeight="14" outlineLevelCol="5"/>
  <cols>
    <col min="1" max="1" width="39.2727272727273" customWidth="1"/>
    <col min="2" max="2" width="35.6363636363636" customWidth="1"/>
    <col min="3" max="3" width="27.7272727272727" customWidth="1"/>
    <col min="4" max="4" width="25.1818181818182" customWidth="1"/>
  </cols>
  <sheetData>
    <row r="1" spans="1:4">
      <c r="A1" s="6" t="s">
        <v>11</v>
      </c>
      <c r="B1" s="6" t="s">
        <v>12</v>
      </c>
      <c r="C1" s="6" t="s">
        <v>13</v>
      </c>
      <c r="D1" s="6" t="s">
        <v>14</v>
      </c>
    </row>
    <row r="2" spans="1:4">
      <c r="A2" s="11">
        <v>2012</v>
      </c>
      <c r="B2">
        <v>192.2</v>
      </c>
      <c r="C2">
        <v>175.5</v>
      </c>
      <c r="D2">
        <v>26565</v>
      </c>
    </row>
    <row r="3" spans="1:4">
      <c r="A3" s="11">
        <v>2013</v>
      </c>
      <c r="B3">
        <v>233.3</v>
      </c>
      <c r="C3">
        <v>217.2</v>
      </c>
      <c r="D3">
        <v>25990</v>
      </c>
    </row>
    <row r="4" spans="1:4">
      <c r="A4" s="11">
        <v>2014</v>
      </c>
      <c r="B4">
        <v>269.7</v>
      </c>
      <c r="C4">
        <v>258</v>
      </c>
      <c r="D4">
        <v>19137</v>
      </c>
    </row>
    <row r="5" spans="1:4">
      <c r="A5" s="11">
        <v>2015</v>
      </c>
      <c r="B5">
        <v>302.3</v>
      </c>
      <c r="C5" s="5">
        <v>291.9</v>
      </c>
      <c r="D5">
        <v>16968</v>
      </c>
    </row>
    <row r="6" spans="1:4">
      <c r="A6" s="11">
        <v>2016</v>
      </c>
      <c r="B6" s="5">
        <v>322.4</v>
      </c>
      <c r="C6">
        <v>305.5</v>
      </c>
      <c r="D6">
        <v>25476</v>
      </c>
    </row>
    <row r="7" spans="1:4">
      <c r="A7">
        <v>2017</v>
      </c>
      <c r="B7">
        <v>406.2</v>
      </c>
      <c r="C7">
        <v>370.4</v>
      </c>
      <c r="D7">
        <v>53062</v>
      </c>
    </row>
    <row r="8" spans="1:4">
      <c r="A8">
        <v>2018</v>
      </c>
      <c r="B8">
        <v>508.42</v>
      </c>
      <c r="C8">
        <v>469.91</v>
      </c>
      <c r="D8">
        <v>58210</v>
      </c>
    </row>
    <row r="9" spans="1:4">
      <c r="A9">
        <v>2019</v>
      </c>
      <c r="B9">
        <v>581.35</v>
      </c>
      <c r="C9">
        <v>525.33</v>
      </c>
      <c r="D9">
        <v>81075</v>
      </c>
    </row>
    <row r="10" spans="1:4">
      <c r="A10">
        <v>2020</v>
      </c>
      <c r="B10">
        <v>424.74</v>
      </c>
      <c r="C10">
        <v>417.73</v>
      </c>
      <c r="D10">
        <v>10158</v>
      </c>
    </row>
    <row r="11" spans="1:4">
      <c r="A11">
        <v>2021</v>
      </c>
      <c r="B11">
        <v>747.03</v>
      </c>
      <c r="C11">
        <v>743.2</v>
      </c>
      <c r="D11">
        <v>5557</v>
      </c>
    </row>
    <row r="12" spans="1:4">
      <c r="A12">
        <v>2022</v>
      </c>
      <c r="B12">
        <v>434.71</v>
      </c>
      <c r="C12">
        <v>431.54</v>
      </c>
      <c r="D12">
        <v>4838</v>
      </c>
    </row>
    <row r="13" spans="1:4">
      <c r="A13">
        <v>2023</v>
      </c>
      <c r="B13">
        <v>896.64</v>
      </c>
      <c r="C13">
        <v>887.22</v>
      </c>
      <c r="D13">
        <v>13182</v>
      </c>
    </row>
    <row r="20" spans="5:6">
      <c r="F20" s="5"/>
    </row>
    <row r="24" spans="5:6">
      <c r="E24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70" zoomScaleNormal="70" workbookViewId="0">
      <selection activeCell="B17" sqref="B17"/>
    </sheetView>
  </sheetViews>
  <sheetFormatPr defaultColWidth="8.72727272727273" defaultRowHeight="14"/>
  <cols>
    <col min="1" max="6" width="35.9090909090909" customWidth="1"/>
    <col min="7" max="7" width="21.6363636363636" customWidth="1"/>
  </cols>
  <sheetData>
    <row r="1" spans="1:10">
      <c r="A1" s="7" t="s">
        <v>11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</row>
    <row r="2" spans="1:10">
      <c r="A2">
        <v>2013</v>
      </c>
      <c r="B2" s="9" t="s">
        <v>20</v>
      </c>
      <c r="C2" s="7">
        <v>180</v>
      </c>
      <c r="D2" s="9" t="s">
        <v>21</v>
      </c>
      <c r="E2" s="9">
        <v>693.748</v>
      </c>
      <c r="F2" s="9" t="s">
        <v>22</v>
      </c>
      <c r="G2" s="7"/>
      <c r="H2" s="7"/>
      <c r="I2" s="7"/>
    </row>
    <row r="3" spans="1:10">
      <c r="A3">
        <v>2014</v>
      </c>
      <c r="B3" s="9" t="s">
        <v>20</v>
      </c>
      <c r="C3" s="9" t="s">
        <v>23</v>
      </c>
      <c r="D3" s="9" t="s">
        <v>24</v>
      </c>
      <c r="E3" s="9">
        <v>693.734</v>
      </c>
      <c r="F3" s="9" t="s">
        <v>25</v>
      </c>
      <c r="G3" s="7"/>
      <c r="H3" s="7"/>
      <c r="I3" s="7"/>
    </row>
    <row r="4" spans="1:10">
      <c r="A4">
        <v>2015</v>
      </c>
      <c r="B4" s="9" t="s">
        <v>26</v>
      </c>
      <c r="C4" s="9" t="s">
        <v>27</v>
      </c>
      <c r="D4" s="9" t="s">
        <v>28</v>
      </c>
      <c r="E4" s="9">
        <v>1033.42</v>
      </c>
      <c r="F4" s="9" t="s">
        <v>29</v>
      </c>
      <c r="G4" s="7"/>
      <c r="H4" s="7"/>
      <c r="I4" s="7"/>
    </row>
    <row r="5" spans="1:10">
      <c r="A5">
        <v>2016</v>
      </c>
      <c r="B5" s="9" t="s">
        <v>30</v>
      </c>
      <c r="C5" s="9" t="s">
        <v>31</v>
      </c>
      <c r="D5" s="9" t="s">
        <v>32</v>
      </c>
      <c r="E5" s="9">
        <v>1033.4</v>
      </c>
      <c r="F5" s="9" t="s">
        <v>33</v>
      </c>
      <c r="G5" s="7"/>
      <c r="H5" s="7"/>
      <c r="I5" s="7"/>
    </row>
    <row r="6" spans="1:10">
      <c r="A6">
        <v>2017</v>
      </c>
      <c r="B6" s="9" t="s">
        <v>34</v>
      </c>
      <c r="C6" s="9" t="s">
        <v>35</v>
      </c>
      <c r="D6" s="9" t="s">
        <v>36</v>
      </c>
      <c r="E6" s="9">
        <v>1033.42</v>
      </c>
      <c r="F6" s="9" t="s">
        <v>33</v>
      </c>
      <c r="G6" s="7"/>
      <c r="H6" s="7"/>
      <c r="I6" s="7"/>
    </row>
    <row r="7" spans="1:10">
      <c r="A7">
        <v>2018</v>
      </c>
      <c r="B7" s="10" t="s">
        <v>37</v>
      </c>
      <c r="C7" s="10" t="s">
        <v>38</v>
      </c>
      <c r="D7" s="10" t="s">
        <v>39</v>
      </c>
      <c r="E7" s="9">
        <v>1033.42</v>
      </c>
      <c r="F7" s="10" t="s">
        <v>40</v>
      </c>
      <c r="G7" s="7"/>
      <c r="H7" s="7"/>
      <c r="I7" s="7"/>
    </row>
    <row r="8" spans="1:10">
      <c r="A8">
        <v>2019</v>
      </c>
      <c r="B8" s="7" t="s">
        <v>41</v>
      </c>
      <c r="C8" s="7">
        <v>247</v>
      </c>
      <c r="D8" s="7" t="s">
        <v>42</v>
      </c>
      <c r="E8" s="9">
        <v>1033.42</v>
      </c>
      <c r="F8" s="7" t="s">
        <v>43</v>
      </c>
      <c r="G8" s="7"/>
      <c r="H8" s="7"/>
      <c r="I8" s="7"/>
    </row>
    <row r="9" spans="1:10">
      <c r="A9">
        <v>2020</v>
      </c>
      <c r="B9" s="7" t="s">
        <v>44</v>
      </c>
      <c r="C9" s="7" t="s">
        <v>35</v>
      </c>
      <c r="D9" s="7" t="s">
        <v>45</v>
      </c>
      <c r="E9" s="9">
        <v>1033.42</v>
      </c>
      <c r="F9" s="7" t="s">
        <v>46</v>
      </c>
      <c r="G9" s="7"/>
      <c r="H9" s="7"/>
      <c r="I9" s="7"/>
    </row>
    <row r="10" spans="1:10">
      <c r="A10">
        <v>2021</v>
      </c>
      <c r="B10" s="7" t="s">
        <v>47</v>
      </c>
      <c r="C10" s="7" t="s">
        <v>48</v>
      </c>
      <c r="D10" s="7" t="s">
        <v>49</v>
      </c>
      <c r="E10" s="9">
        <v>1033.42</v>
      </c>
      <c r="F10" s="7" t="s">
        <v>50</v>
      </c>
      <c r="G10" s="7"/>
      <c r="H10" s="7"/>
      <c r="I10" s="7"/>
    </row>
    <row r="11" spans="1:10">
      <c r="A11">
        <v>2022</v>
      </c>
      <c r="B11" s="7" t="s">
        <v>51</v>
      </c>
      <c r="C11" s="7" t="s">
        <v>52</v>
      </c>
      <c r="D11" s="7" t="s">
        <v>53</v>
      </c>
      <c r="E11" s="9">
        <v>1033.42</v>
      </c>
      <c r="F11" s="7" t="s">
        <v>54</v>
      </c>
      <c r="G11" s="7"/>
      <c r="H11" s="7"/>
      <c r="I11" s="7"/>
    </row>
    <row r="12" spans="1:10">
      <c r="A12">
        <v>2023</v>
      </c>
      <c r="B12" s="7" t="s">
        <v>55</v>
      </c>
      <c r="C12" s="7" t="s">
        <v>56</v>
      </c>
      <c r="D12" s="7" t="s">
        <v>57</v>
      </c>
      <c r="E12" s="9">
        <v>1033.42</v>
      </c>
      <c r="F12" s="7" t="s">
        <v>54</v>
      </c>
      <c r="G12" s="7"/>
      <c r="H12" s="7"/>
      <c r="I12" s="7"/>
    </row>
    <row r="13" spans="1:10">
      <c r="B13" s="7"/>
      <c r="C13" s="7"/>
      <c r="D13" s="7"/>
      <c r="E13" s="7"/>
      <c r="F13" s="7"/>
      <c r="G13" s="7"/>
      <c r="H13" s="7"/>
      <c r="I13" s="7"/>
      <c r="J13" s="7"/>
    </row>
    <row r="14" spans="1:10"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B15" s="7"/>
      <c r="C15" s="7"/>
      <c r="D15" s="7"/>
      <c r="E15" s="7"/>
      <c r="F15" s="7"/>
      <c r="G15" s="7"/>
      <c r="H15" s="7"/>
      <c r="I15" s="7"/>
      <c r="J15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B41" sqref="B41"/>
    </sheetView>
  </sheetViews>
  <sheetFormatPr defaultColWidth="8.72727272727273" defaultRowHeight="14" outlineLevelCol="6"/>
  <cols>
    <col min="1" max="1" width="19.3636363636364" customWidth="1"/>
    <col min="2" max="2" width="16.1818181818182" customWidth="1"/>
    <col min="3" max="3" width="14.8181818181818" customWidth="1"/>
    <col min="4" max="4" width="17.3636363636364" customWidth="1"/>
    <col min="5" max="5" width="20.3636363636364" customWidth="1"/>
    <col min="6" max="6" width="19.8181818181818" customWidth="1"/>
    <col min="7" max="7" width="19.3636363636364" customWidth="1"/>
  </cols>
  <sheetData>
    <row r="1" spans="1:7">
      <c r="A1" s="6" t="s">
        <v>6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</row>
    <row r="2" spans="1:7">
      <c r="A2" t="s">
        <v>15</v>
      </c>
      <c r="B2" t="s">
        <v>64</v>
      </c>
      <c r="C2">
        <v>1907.6</v>
      </c>
      <c r="D2">
        <v>139.4</v>
      </c>
      <c r="E2">
        <v>57.2</v>
      </c>
      <c r="F2">
        <v>122.4</v>
      </c>
      <c r="G2">
        <v>1588.5</v>
      </c>
    </row>
    <row r="3" spans="1:7">
      <c r="A3" t="s">
        <v>65</v>
      </c>
      <c r="B3" t="s">
        <v>64</v>
      </c>
      <c r="C3">
        <v>1907.6</v>
      </c>
      <c r="D3">
        <v>139.4</v>
      </c>
      <c r="E3">
        <v>57.2</v>
      </c>
      <c r="F3">
        <v>122.4</v>
      </c>
      <c r="G3">
        <v>1588.5</v>
      </c>
    </row>
    <row r="4" spans="1:7">
      <c r="A4" t="s">
        <v>66</v>
      </c>
      <c r="B4" t="s">
        <v>64</v>
      </c>
      <c r="C4">
        <v>82.5</v>
      </c>
      <c r="D4">
        <v>76.7</v>
      </c>
      <c r="E4">
        <v>2.5</v>
      </c>
      <c r="F4">
        <v>3.3</v>
      </c>
      <c r="G4">
        <v>0</v>
      </c>
    </row>
    <row r="5" spans="1:7">
      <c r="A5" t="s">
        <v>67</v>
      </c>
      <c r="B5" t="s">
        <v>64</v>
      </c>
      <c r="C5">
        <v>129.9</v>
      </c>
      <c r="D5">
        <v>62.7</v>
      </c>
      <c r="E5">
        <v>41.6</v>
      </c>
      <c r="F5">
        <v>22.8</v>
      </c>
      <c r="G5">
        <v>2.8</v>
      </c>
    </row>
    <row r="6" spans="1:7">
      <c r="A6" t="s">
        <v>68</v>
      </c>
      <c r="B6" t="s">
        <v>64</v>
      </c>
      <c r="C6">
        <v>42.2</v>
      </c>
      <c r="D6">
        <v>0</v>
      </c>
      <c r="E6">
        <v>13.1</v>
      </c>
      <c r="F6">
        <v>5.2</v>
      </c>
      <c r="G6">
        <v>23.9</v>
      </c>
    </row>
    <row r="7" spans="1:7">
      <c r="A7" t="s">
        <v>69</v>
      </c>
      <c r="B7" t="s">
        <v>64</v>
      </c>
      <c r="C7">
        <v>1653.1</v>
      </c>
      <c r="D7">
        <v>0</v>
      </c>
      <c r="E7">
        <v>0</v>
      </c>
      <c r="F7">
        <v>91.2</v>
      </c>
      <c r="G7">
        <v>1561.9</v>
      </c>
    </row>
    <row r="8" spans="1:7">
      <c r="A8" t="s">
        <v>70</v>
      </c>
      <c r="B8" t="s">
        <v>64</v>
      </c>
      <c r="C8">
        <v>4.8</v>
      </c>
      <c r="D8">
        <v>0</v>
      </c>
      <c r="E8">
        <v>0</v>
      </c>
      <c r="F8">
        <v>0</v>
      </c>
      <c r="G8">
        <v>4.8</v>
      </c>
    </row>
    <row r="9" spans="1:7">
      <c r="A9" t="s">
        <v>71</v>
      </c>
      <c r="B9" t="s">
        <v>64</v>
      </c>
      <c r="C9">
        <v>1912.1</v>
      </c>
      <c r="D9">
        <v>139.4</v>
      </c>
      <c r="E9">
        <v>57.2</v>
      </c>
      <c r="F9">
        <v>122.4</v>
      </c>
      <c r="G9">
        <v>1593</v>
      </c>
    </row>
    <row r="10" spans="1:7">
      <c r="A10" t="s">
        <v>72</v>
      </c>
      <c r="B10" t="s">
        <v>64</v>
      </c>
      <c r="C10">
        <v>0.5</v>
      </c>
      <c r="D10">
        <v>0</v>
      </c>
      <c r="E10">
        <v>0</v>
      </c>
      <c r="F10">
        <v>0</v>
      </c>
      <c r="G10">
        <v>0.5</v>
      </c>
    </row>
    <row r="11" spans="1:7">
      <c r="A11" t="s">
        <v>73</v>
      </c>
      <c r="B11" t="s">
        <v>64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74</v>
      </c>
      <c r="B12" t="s">
        <v>75</v>
      </c>
      <c r="C12">
        <v>215</v>
      </c>
      <c r="D12">
        <v>41</v>
      </c>
      <c r="E12">
        <v>25</v>
      </c>
      <c r="F12">
        <v>18</v>
      </c>
      <c r="G12">
        <v>131</v>
      </c>
    </row>
    <row r="13" spans="1:7">
      <c r="A13" t="s">
        <v>76</v>
      </c>
      <c r="B13" t="s">
        <v>77</v>
      </c>
      <c r="C13">
        <v>7909.1</v>
      </c>
      <c r="D13">
        <v>2749.8</v>
      </c>
      <c r="E13">
        <v>1263.5</v>
      </c>
      <c r="F13">
        <v>317.6</v>
      </c>
      <c r="G13">
        <v>3578.2</v>
      </c>
    </row>
    <row r="14" spans="1:7">
      <c r="A14" t="s">
        <v>78</v>
      </c>
      <c r="B14" t="s">
        <v>75</v>
      </c>
      <c r="C14">
        <v>215</v>
      </c>
      <c r="D14">
        <v>41</v>
      </c>
      <c r="E14">
        <v>25</v>
      </c>
      <c r="F14">
        <v>18</v>
      </c>
      <c r="G14">
        <v>131</v>
      </c>
    </row>
    <row r="15" spans="1:7">
      <c r="A15" t="s">
        <v>76</v>
      </c>
      <c r="B15" t="s">
        <v>77</v>
      </c>
      <c r="C15">
        <v>7909.1</v>
      </c>
      <c r="D15">
        <v>2749.8</v>
      </c>
      <c r="E15">
        <v>1263.5</v>
      </c>
      <c r="F15">
        <v>317.6</v>
      </c>
      <c r="G15">
        <v>3578.2</v>
      </c>
    </row>
    <row r="16" spans="1:7">
      <c r="A16" t="s">
        <v>79</v>
      </c>
      <c r="B16" t="s">
        <v>64</v>
      </c>
      <c r="C16">
        <v>1372.1</v>
      </c>
      <c r="D16">
        <v>131.6</v>
      </c>
      <c r="E16">
        <v>49.8</v>
      </c>
      <c r="F16">
        <v>0</v>
      </c>
      <c r="G16">
        <v>1190.7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10" sqref="E10"/>
    </sheetView>
  </sheetViews>
  <sheetFormatPr defaultColWidth="8.72727272727273" defaultRowHeight="14" outlineLevelCol="6"/>
  <cols>
    <col min="1" max="1" width="10" customWidth="1"/>
    <col min="2" max="2" width="27.2727272727273" customWidth="1"/>
    <col min="3" max="3" width="17.7272727272727" customWidth="1"/>
    <col min="4" max="4" width="22.5454545454545" customWidth="1"/>
    <col min="5" max="5" width="28.7272727272727" customWidth="1"/>
    <col min="6" max="6" width="38" customWidth="1"/>
    <col min="7" max="7" width="26" customWidth="1"/>
    <col min="8" max="8" width="14.9090909090909" customWidth="1"/>
  </cols>
  <sheetData>
    <row r="1" spans="1:7">
      <c r="A1" s="6" t="s">
        <v>11</v>
      </c>
      <c r="B1" s="6" t="s">
        <v>80</v>
      </c>
      <c r="C1" s="6" t="s">
        <v>81</v>
      </c>
      <c r="D1" s="6" t="s">
        <v>82</v>
      </c>
      <c r="E1" s="6" t="s">
        <v>83</v>
      </c>
      <c r="F1" s="6" t="s">
        <v>84</v>
      </c>
      <c r="G1" s="6" t="s">
        <v>85</v>
      </c>
    </row>
    <row r="2" spans="1:7">
      <c r="A2">
        <v>2013</v>
      </c>
      <c r="B2">
        <v>45.3</v>
      </c>
      <c r="C2">
        <v>41.6</v>
      </c>
      <c r="D2">
        <v>19</v>
      </c>
      <c r="E2">
        <v>68</v>
      </c>
      <c r="F2">
        <v>90</v>
      </c>
      <c r="G2">
        <v>84.5</v>
      </c>
    </row>
    <row r="3" spans="1:7">
      <c r="A3">
        <v>2014</v>
      </c>
      <c r="B3">
        <v>45.3</v>
      </c>
      <c r="C3">
        <v>41.6</v>
      </c>
      <c r="D3">
        <v>19</v>
      </c>
      <c r="E3">
        <v>68</v>
      </c>
      <c r="F3">
        <v>90</v>
      </c>
      <c r="G3">
        <v>85.4</v>
      </c>
    </row>
    <row r="4" spans="1:7">
      <c r="A4">
        <v>2015</v>
      </c>
      <c r="B4">
        <v>40</v>
      </c>
      <c r="C4">
        <v>36.5</v>
      </c>
      <c r="D4">
        <v>15.9</v>
      </c>
      <c r="E4">
        <v>68</v>
      </c>
      <c r="F4">
        <v>90.9</v>
      </c>
      <c r="G4">
        <v>86</v>
      </c>
    </row>
    <row r="5" spans="1:7">
      <c r="A5">
        <v>2016</v>
      </c>
      <c r="B5">
        <v>43</v>
      </c>
      <c r="C5">
        <v>39.8</v>
      </c>
      <c r="D5">
        <v>13</v>
      </c>
      <c r="E5">
        <v>68</v>
      </c>
      <c r="F5">
        <v>91.7</v>
      </c>
      <c r="G5">
        <v>87.4</v>
      </c>
    </row>
    <row r="6" spans="1:7">
      <c r="A6">
        <v>2017</v>
      </c>
      <c r="B6">
        <v>43</v>
      </c>
      <c r="C6">
        <v>39.6</v>
      </c>
      <c r="D6">
        <v>15.4</v>
      </c>
      <c r="E6">
        <v>69</v>
      </c>
      <c r="F6">
        <v>91.7</v>
      </c>
      <c r="G6">
        <v>89.8</v>
      </c>
    </row>
    <row r="7" spans="1:7">
      <c r="A7">
        <v>2018</v>
      </c>
      <c r="B7">
        <v>41.1</v>
      </c>
      <c r="C7">
        <v>37.9</v>
      </c>
      <c r="D7">
        <v>14.2</v>
      </c>
      <c r="E7">
        <v>69</v>
      </c>
      <c r="F7">
        <v>91.7</v>
      </c>
      <c r="G7">
        <v>83</v>
      </c>
    </row>
    <row r="8" spans="1:7">
      <c r="A8">
        <v>2019</v>
      </c>
      <c r="B8">
        <v>41.1</v>
      </c>
      <c r="C8">
        <v>33.7</v>
      </c>
      <c r="D8">
        <v>12.4</v>
      </c>
      <c r="E8">
        <v>69</v>
      </c>
      <c r="F8">
        <v>91.7</v>
      </c>
      <c r="G8">
        <v>91.8</v>
      </c>
    </row>
    <row r="9" spans="1:7">
      <c r="A9">
        <v>2020</v>
      </c>
      <c r="B9">
        <v>42.3</v>
      </c>
      <c r="C9">
        <v>38.1</v>
      </c>
      <c r="D9">
        <v>13.9</v>
      </c>
      <c r="E9">
        <v>69</v>
      </c>
      <c r="F9">
        <v>83.3</v>
      </c>
      <c r="G9">
        <v>100</v>
      </c>
    </row>
    <row r="10" spans="1:7">
      <c r="A10">
        <v>2021</v>
      </c>
      <c r="B10">
        <v>42.3</v>
      </c>
      <c r="C10">
        <v>39</v>
      </c>
      <c r="D10">
        <v>16.3</v>
      </c>
      <c r="E10">
        <v>70</v>
      </c>
      <c r="F10">
        <v>90.9</v>
      </c>
      <c r="G10">
        <v>100</v>
      </c>
    </row>
    <row r="11" spans="1:7">
      <c r="A11">
        <v>2022</v>
      </c>
      <c r="B11">
        <v>42.3</v>
      </c>
      <c r="C11">
        <v>39</v>
      </c>
      <c r="D11">
        <v>16.3</v>
      </c>
      <c r="E11">
        <v>70.1</v>
      </c>
      <c r="F11">
        <v>81.8</v>
      </c>
      <c r="G11">
        <v>100</v>
      </c>
    </row>
    <row r="12" spans="1:7">
      <c r="A12">
        <v>2023</v>
      </c>
      <c r="B12">
        <v>42.3</v>
      </c>
      <c r="C12">
        <v>39</v>
      </c>
      <c r="D12">
        <v>17.2</v>
      </c>
      <c r="E12">
        <v>70.1</v>
      </c>
      <c r="F12">
        <v>100</v>
      </c>
      <c r="G12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B2" sqref="B2"/>
    </sheetView>
  </sheetViews>
  <sheetFormatPr defaultColWidth="8.72727272727273" defaultRowHeight="14" outlineLevelCol="5"/>
  <cols>
    <col min="1" max="1" width="22.1818181818182" customWidth="1"/>
    <col min="2" max="2" width="21.7272727272727" customWidth="1"/>
    <col min="3" max="3" width="20.0909090909091" customWidth="1"/>
    <col min="4" max="4" width="15.7272727272727" customWidth="1"/>
    <col min="5" max="5" width="15.5454545454545" customWidth="1"/>
    <col min="6" max="6" width="17.2727272727273" customWidth="1"/>
  </cols>
  <sheetData>
    <row r="1" spans="1:6">
      <c r="A1" t="s">
        <v>11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>
      <c r="A2">
        <v>2013</v>
      </c>
      <c r="B2">
        <v>217.2</v>
      </c>
      <c r="C2">
        <v>1228.3977</v>
      </c>
      <c r="D2">
        <v>0.3584</v>
      </c>
      <c r="E2">
        <v>0.3723</v>
      </c>
      <c r="F2" s="2">
        <v>15</v>
      </c>
    </row>
    <row r="3" spans="1:6">
      <c r="A3">
        <v>2014</v>
      </c>
      <c r="B3">
        <v>258</v>
      </c>
      <c r="C3">
        <v>1352.7615</v>
      </c>
      <c r="D3">
        <v>0.3151</v>
      </c>
      <c r="E3">
        <v>0.3771</v>
      </c>
      <c r="F3" s="2">
        <v>18</v>
      </c>
    </row>
    <row r="4" spans="1:6">
      <c r="A4">
        <v>2015</v>
      </c>
      <c r="B4" s="5">
        <v>291.9</v>
      </c>
      <c r="C4">
        <v>1495.7271</v>
      </c>
      <c r="D4">
        <v>0.358</v>
      </c>
      <c r="E4">
        <v>0.2155</v>
      </c>
      <c r="F4" s="2">
        <v>20</v>
      </c>
    </row>
    <row r="5" spans="1:6">
      <c r="A5">
        <v>2016</v>
      </c>
      <c r="B5">
        <v>305.5</v>
      </c>
      <c r="C5">
        <v>1651.5782</v>
      </c>
      <c r="D5">
        <v>0.4455</v>
      </c>
      <c r="E5">
        <v>0.249</v>
      </c>
      <c r="F5" s="2">
        <v>22</v>
      </c>
    </row>
    <row r="6" spans="1:6">
      <c r="A6">
        <v>2017</v>
      </c>
      <c r="B6">
        <v>370.4</v>
      </c>
      <c r="C6">
        <v>1830.9674</v>
      </c>
      <c r="D6">
        <v>0.5272</v>
      </c>
      <c r="E6">
        <v>0.478</v>
      </c>
      <c r="F6" s="2">
        <v>25</v>
      </c>
    </row>
    <row r="7" spans="1:6">
      <c r="A7">
        <v>2018</v>
      </c>
      <c r="B7">
        <v>469.91</v>
      </c>
      <c r="C7">
        <v>2099.6981</v>
      </c>
      <c r="D7">
        <v>0.6224</v>
      </c>
      <c r="E7">
        <v>0.3579</v>
      </c>
      <c r="F7" s="2">
        <v>29</v>
      </c>
    </row>
    <row r="8" spans="1:6">
      <c r="A8">
        <v>2019</v>
      </c>
      <c r="B8">
        <v>525.33</v>
      </c>
      <c r="C8" s="3">
        <v>2294.263</v>
      </c>
      <c r="D8" s="4">
        <v>0.7339</v>
      </c>
      <c r="E8">
        <v>0.4107</v>
      </c>
      <c r="F8" s="2">
        <v>35</v>
      </c>
    </row>
    <row r="9" spans="1:6">
      <c r="A9">
        <v>2020</v>
      </c>
      <c r="B9">
        <v>417.73</v>
      </c>
      <c r="C9">
        <v>1714.4047</v>
      </c>
      <c r="D9">
        <v>0.7247</v>
      </c>
      <c r="E9">
        <v>0.5285</v>
      </c>
      <c r="F9" s="2">
        <v>41</v>
      </c>
    </row>
    <row r="10" spans="1:6">
      <c r="A10">
        <v>2021</v>
      </c>
      <c r="B10">
        <v>743.2</v>
      </c>
      <c r="C10">
        <v>2162.0435</v>
      </c>
      <c r="D10">
        <v>0.5955</v>
      </c>
      <c r="E10">
        <v>0.7708</v>
      </c>
      <c r="F10" s="2">
        <v>55</v>
      </c>
    </row>
    <row r="11" spans="1:6">
      <c r="A11">
        <v>2022</v>
      </c>
      <c r="B11">
        <v>431.54</v>
      </c>
      <c r="C11">
        <v>1314.7895</v>
      </c>
      <c r="D11">
        <v>0.4879</v>
      </c>
      <c r="E11">
        <v>0.7241</v>
      </c>
      <c r="F11" s="2">
        <v>62</v>
      </c>
    </row>
    <row r="12" spans="1:6">
      <c r="A12">
        <v>2023</v>
      </c>
      <c r="B12">
        <v>887.22</v>
      </c>
      <c r="C12">
        <v>2571.1846</v>
      </c>
      <c r="D12">
        <v>0.4953</v>
      </c>
      <c r="E12">
        <v>0.8253</v>
      </c>
      <c r="F12" s="2">
        <v>66</v>
      </c>
    </row>
    <row r="14" spans="1:6">
      <c r="E14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2" sqref="B2:B12"/>
    </sheetView>
  </sheetViews>
  <sheetFormatPr defaultColWidth="8.72727272727273" defaultRowHeight="14" outlineLevelCol="1"/>
  <sheetData>
    <row r="1" spans="1:2">
      <c r="A1" s="2" t="s">
        <v>11</v>
      </c>
      <c r="B1" s="2" t="s">
        <v>91</v>
      </c>
    </row>
    <row r="2" spans="1:2">
      <c r="A2" s="2">
        <v>2013</v>
      </c>
      <c r="B2" s="2">
        <v>15</v>
      </c>
    </row>
    <row r="3" spans="1:2">
      <c r="A3" s="2">
        <v>2014</v>
      </c>
      <c r="B3" s="2">
        <v>18</v>
      </c>
    </row>
    <row r="4" spans="1:2">
      <c r="A4" s="2">
        <v>2015</v>
      </c>
      <c r="B4" s="2">
        <v>20</v>
      </c>
    </row>
    <row r="5" spans="1:2">
      <c r="A5" s="2">
        <v>2016</v>
      </c>
      <c r="B5" s="2">
        <v>22</v>
      </c>
    </row>
    <row r="6" spans="1:2">
      <c r="A6" s="2">
        <v>2017</v>
      </c>
      <c r="B6" s="2">
        <v>25</v>
      </c>
    </row>
    <row r="7" spans="1:2">
      <c r="A7" s="2">
        <v>2018</v>
      </c>
      <c r="B7" s="2">
        <v>29</v>
      </c>
    </row>
    <row r="8" spans="1:2">
      <c r="A8" s="2">
        <v>2019</v>
      </c>
      <c r="B8" s="2">
        <v>35</v>
      </c>
    </row>
    <row r="9" spans="1:2">
      <c r="A9" s="2">
        <v>2020</v>
      </c>
      <c r="B9" s="2">
        <v>41</v>
      </c>
    </row>
    <row r="10" spans="1:2">
      <c r="A10" s="2">
        <v>2021</v>
      </c>
      <c r="B10" s="2">
        <v>55</v>
      </c>
    </row>
    <row r="11" spans="1:2">
      <c r="A11" s="2">
        <v>2022</v>
      </c>
      <c r="B11" s="2">
        <v>62</v>
      </c>
    </row>
    <row r="12" spans="1:2">
      <c r="A12" s="2">
        <v>2023</v>
      </c>
      <c r="B12" s="2">
        <v>66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opLeftCell="H1" workbookViewId="0">
      <selection activeCell="B1" sqref="B1:S1"/>
    </sheetView>
  </sheetViews>
  <sheetFormatPr defaultColWidth="8.72727272727273" defaultRowHeight="14"/>
  <cols>
    <col min="1" max="1" width="26.5454545454545" customWidth="1"/>
    <col min="2" max="2" width="27.4545454545455" customWidth="1"/>
    <col min="3" max="3" width="22.5454545454545" customWidth="1"/>
    <col min="4" max="4" width="29.9090909090909" customWidth="1"/>
    <col min="5" max="5" width="22.1818181818182" customWidth="1"/>
    <col min="6" max="6" width="22.8181818181818" customWidth="1"/>
    <col min="7" max="7" width="23.5454545454545" customWidth="1"/>
    <col min="11" max="11" width="18" customWidth="1"/>
    <col min="12" max="12" width="21.3636363636364" customWidth="1"/>
    <col min="13" max="13" width="27.8181818181818" customWidth="1"/>
    <col min="14" max="14" width="27.6363636363636" customWidth="1"/>
    <col min="15" max="15" width="12" customWidth="1"/>
    <col min="16" max="16" width="24.4545454545455" customWidth="1"/>
  </cols>
  <sheetData>
    <row r="1" spans="1:19">
      <c r="A1" t="s">
        <v>11</v>
      </c>
      <c r="B1" t="s">
        <v>92</v>
      </c>
      <c r="C1" t="s">
        <v>93</v>
      </c>
      <c r="D1" t="s">
        <v>94</v>
      </c>
      <c r="E1" t="s">
        <v>95</v>
      </c>
      <c r="F1" t="s">
        <v>83</v>
      </c>
      <c r="G1" t="s">
        <v>85</v>
      </c>
      <c r="H1" t="s">
        <v>96</v>
      </c>
      <c r="I1" t="s">
        <v>97</v>
      </c>
      <c r="J1" t="s">
        <v>98</v>
      </c>
      <c r="K1" t="s">
        <v>84</v>
      </c>
      <c r="L1" t="s">
        <v>99</v>
      </c>
      <c r="M1" t="s">
        <v>100</v>
      </c>
      <c r="N1" t="s">
        <v>101</v>
      </c>
      <c r="O1" t="s">
        <v>102</v>
      </c>
      <c r="P1" t="s">
        <v>87</v>
      </c>
      <c r="Q1" t="s">
        <v>88</v>
      </c>
      <c r="R1" t="s">
        <v>89</v>
      </c>
      <c r="S1" t="s">
        <v>90</v>
      </c>
    </row>
    <row r="2" spans="1:19">
      <c r="A2">
        <v>2013</v>
      </c>
      <c r="B2">
        <v>45650</v>
      </c>
      <c r="C2">
        <v>73.2</v>
      </c>
      <c r="D2">
        <v>69.89</v>
      </c>
      <c r="E2">
        <f>C2*10000/(1921)</f>
        <v>381.051535658511</v>
      </c>
      <c r="F2">
        <v>68</v>
      </c>
      <c r="G2">
        <v>84.5</v>
      </c>
      <c r="H2">
        <v>68.79</v>
      </c>
      <c r="I2">
        <v>8.3</v>
      </c>
      <c r="J2">
        <v>1.92</v>
      </c>
      <c r="K2">
        <v>90</v>
      </c>
      <c r="L2">
        <v>16.23</v>
      </c>
      <c r="M2">
        <v>73.81</v>
      </c>
      <c r="N2">
        <v>391.38</v>
      </c>
      <c r="O2">
        <v>0.032040984</v>
      </c>
      <c r="P2">
        <v>1228.3977</v>
      </c>
      <c r="Q2">
        <v>0.3584</v>
      </c>
      <c r="R2">
        <v>0.3723</v>
      </c>
      <c r="S2" s="2">
        <v>15</v>
      </c>
    </row>
    <row r="3" spans="1:19">
      <c r="A3">
        <v>2014</v>
      </c>
      <c r="B3">
        <v>48447</v>
      </c>
      <c r="C3">
        <v>74.19</v>
      </c>
      <c r="D3">
        <v>70.97</v>
      </c>
      <c r="E3">
        <f t="shared" ref="E3:E12" si="0">C3*10000/(1921)</f>
        <v>386.20510150963</v>
      </c>
      <c r="F3">
        <v>68</v>
      </c>
      <c r="G3">
        <v>85.4</v>
      </c>
      <c r="H3">
        <v>67.1</v>
      </c>
      <c r="I3">
        <v>7.06</v>
      </c>
      <c r="J3">
        <v>1.69</v>
      </c>
      <c r="K3">
        <v>90</v>
      </c>
      <c r="L3">
        <v>13.74</v>
      </c>
      <c r="M3">
        <v>68.6</v>
      </c>
      <c r="N3">
        <v>379</v>
      </c>
      <c r="O3">
        <v>0.031560857</v>
      </c>
      <c r="P3">
        <v>1352.7615</v>
      </c>
      <c r="Q3">
        <v>0.3151</v>
      </c>
      <c r="R3">
        <v>0.3771</v>
      </c>
      <c r="S3" s="2">
        <v>18</v>
      </c>
    </row>
    <row r="4" spans="1:19">
      <c r="A4">
        <v>2015</v>
      </c>
      <c r="B4">
        <v>51421</v>
      </c>
      <c r="C4">
        <v>74.89</v>
      </c>
      <c r="D4">
        <v>72.03</v>
      </c>
      <c r="E4">
        <f t="shared" si="0"/>
        <v>389.849036959917</v>
      </c>
      <c r="F4">
        <v>68</v>
      </c>
      <c r="G4">
        <v>86</v>
      </c>
      <c r="H4">
        <v>64.74</v>
      </c>
      <c r="I4">
        <v>7.28</v>
      </c>
      <c r="J4">
        <v>1.92</v>
      </c>
      <c r="K4">
        <v>90.9</v>
      </c>
      <c r="L4">
        <v>11.23</v>
      </c>
      <c r="M4">
        <v>65.7</v>
      </c>
      <c r="N4">
        <v>382</v>
      </c>
      <c r="O4">
        <v>0.030741087</v>
      </c>
      <c r="P4">
        <v>1495.7271</v>
      </c>
      <c r="Q4">
        <v>0.358</v>
      </c>
      <c r="R4">
        <v>0.2155</v>
      </c>
      <c r="S4" s="2">
        <v>20</v>
      </c>
    </row>
    <row r="5" spans="1:19">
      <c r="A5">
        <v>2016</v>
      </c>
      <c r="B5">
        <v>55770</v>
      </c>
      <c r="C5">
        <v>75.43</v>
      </c>
      <c r="D5">
        <v>73.89</v>
      </c>
      <c r="E5">
        <f t="shared" si="0"/>
        <v>392.660072878709</v>
      </c>
      <c r="F5">
        <v>68</v>
      </c>
      <c r="G5">
        <v>87.4</v>
      </c>
      <c r="H5">
        <v>58.68</v>
      </c>
      <c r="I5">
        <v>6.85</v>
      </c>
      <c r="J5">
        <v>1.72</v>
      </c>
      <c r="K5">
        <v>91.7</v>
      </c>
      <c r="L5">
        <v>19.78</v>
      </c>
      <c r="M5">
        <v>62.1</v>
      </c>
      <c r="N5">
        <v>386</v>
      </c>
      <c r="O5">
        <v>0.030253215</v>
      </c>
      <c r="P5">
        <v>1651.5782</v>
      </c>
      <c r="Q5">
        <v>0.4455</v>
      </c>
      <c r="R5">
        <v>0.249</v>
      </c>
      <c r="S5" s="2">
        <v>22</v>
      </c>
    </row>
    <row r="6" spans="1:19">
      <c r="A6">
        <v>2017</v>
      </c>
      <c r="B6">
        <v>59657</v>
      </c>
      <c r="C6">
        <v>76.42</v>
      </c>
      <c r="D6">
        <v>74.91</v>
      </c>
      <c r="E6">
        <f t="shared" si="0"/>
        <v>397.813638729828</v>
      </c>
      <c r="F6">
        <v>69</v>
      </c>
      <c r="G6">
        <v>89.8</v>
      </c>
      <c r="H6">
        <v>52.89</v>
      </c>
      <c r="I6">
        <v>6.1</v>
      </c>
      <c r="J6">
        <v>1.6</v>
      </c>
      <c r="K6">
        <v>91.7</v>
      </c>
      <c r="L6">
        <v>19.65</v>
      </c>
      <c r="M6">
        <v>59.6</v>
      </c>
      <c r="N6">
        <v>393</v>
      </c>
      <c r="O6">
        <v>0.029815493</v>
      </c>
      <c r="P6">
        <v>1830.9674</v>
      </c>
      <c r="Q6">
        <v>0.5272</v>
      </c>
      <c r="R6">
        <v>0.478</v>
      </c>
      <c r="S6" s="2">
        <v>25</v>
      </c>
    </row>
    <row r="7" spans="1:19">
      <c r="A7">
        <v>2018</v>
      </c>
      <c r="B7">
        <v>65841</v>
      </c>
      <c r="C7">
        <v>95.83</v>
      </c>
      <c r="D7">
        <v>75.93</v>
      </c>
      <c r="E7">
        <f t="shared" si="0"/>
        <v>498.854763144196</v>
      </c>
      <c r="F7">
        <v>69</v>
      </c>
      <c r="G7">
        <v>83</v>
      </c>
      <c r="H7">
        <v>58.71</v>
      </c>
      <c r="I7">
        <v>6.56</v>
      </c>
      <c r="J7">
        <v>1.73</v>
      </c>
      <c r="K7">
        <v>91.7</v>
      </c>
      <c r="L7">
        <v>16.46</v>
      </c>
      <c r="M7">
        <v>57.5</v>
      </c>
      <c r="N7">
        <v>402</v>
      </c>
      <c r="O7">
        <v>0.023776479</v>
      </c>
      <c r="P7">
        <v>2099.6981</v>
      </c>
      <c r="Q7">
        <v>0.6224</v>
      </c>
      <c r="R7">
        <v>0.3579</v>
      </c>
      <c r="S7" s="2">
        <v>29</v>
      </c>
    </row>
    <row r="8" spans="1:19">
      <c r="A8">
        <v>2019</v>
      </c>
      <c r="B8">
        <v>70796</v>
      </c>
      <c r="C8">
        <v>98.85</v>
      </c>
      <c r="D8">
        <v>76.26</v>
      </c>
      <c r="E8">
        <f t="shared" si="0"/>
        <v>514.575741801145</v>
      </c>
      <c r="F8">
        <v>69</v>
      </c>
      <c r="G8">
        <v>91.8</v>
      </c>
      <c r="H8">
        <v>53.96</v>
      </c>
      <c r="I8">
        <v>5.15</v>
      </c>
      <c r="J8">
        <v>1.68</v>
      </c>
      <c r="K8">
        <v>91.7</v>
      </c>
      <c r="L8">
        <v>16.98</v>
      </c>
      <c r="M8">
        <v>50.72</v>
      </c>
      <c r="N8">
        <v>346.59</v>
      </c>
      <c r="O8">
        <v>0.023586242</v>
      </c>
      <c r="P8" s="3">
        <v>2294.263</v>
      </c>
      <c r="Q8" s="4">
        <v>0.7339</v>
      </c>
      <c r="R8">
        <v>0.4107</v>
      </c>
      <c r="S8" s="2">
        <v>35</v>
      </c>
    </row>
    <row r="9" spans="1:19">
      <c r="A9">
        <v>2020</v>
      </c>
      <c r="B9">
        <v>69987</v>
      </c>
      <c r="C9">
        <v>103.73</v>
      </c>
      <c r="D9">
        <v>70.28</v>
      </c>
      <c r="E9">
        <f t="shared" si="0"/>
        <v>539.979177511713</v>
      </c>
      <c r="F9">
        <v>69</v>
      </c>
      <c r="G9">
        <v>100</v>
      </c>
      <c r="H9">
        <v>40.36</v>
      </c>
      <c r="I9">
        <v>3.59</v>
      </c>
      <c r="J9">
        <v>1.77</v>
      </c>
      <c r="K9">
        <v>83.3</v>
      </c>
      <c r="L9">
        <v>17.5</v>
      </c>
      <c r="M9">
        <v>46</v>
      </c>
      <c r="N9">
        <v>310</v>
      </c>
      <c r="O9">
        <v>0.022379254</v>
      </c>
      <c r="P9">
        <v>1714.4047</v>
      </c>
      <c r="Q9">
        <v>0.7247</v>
      </c>
      <c r="R9">
        <v>0.5285</v>
      </c>
      <c r="S9" s="2">
        <v>41</v>
      </c>
    </row>
    <row r="10" spans="1:19">
      <c r="A10">
        <v>2021</v>
      </c>
      <c r="B10">
        <v>81317</v>
      </c>
      <c r="C10">
        <v>105.61</v>
      </c>
      <c r="D10">
        <v>71.16</v>
      </c>
      <c r="E10">
        <f t="shared" si="0"/>
        <v>549.765747006767</v>
      </c>
      <c r="F10">
        <v>70</v>
      </c>
      <c r="G10">
        <v>100</v>
      </c>
      <c r="H10">
        <v>45.73</v>
      </c>
      <c r="I10">
        <v>4.06</v>
      </c>
      <c r="J10">
        <v>1.59</v>
      </c>
      <c r="K10">
        <v>90.9</v>
      </c>
      <c r="L10">
        <v>10.55</v>
      </c>
      <c r="M10">
        <v>42.3</v>
      </c>
      <c r="N10">
        <v>334.6</v>
      </c>
      <c r="O10">
        <v>0.015061074</v>
      </c>
      <c r="P10">
        <v>2162.0435</v>
      </c>
      <c r="Q10">
        <v>0.5955</v>
      </c>
      <c r="R10">
        <v>0.7708</v>
      </c>
      <c r="S10" s="2">
        <v>55</v>
      </c>
    </row>
    <row r="11" spans="1:19">
      <c r="A11">
        <v>2022</v>
      </c>
      <c r="B11">
        <v>81687</v>
      </c>
      <c r="C11">
        <v>106.59</v>
      </c>
      <c r="D11">
        <v>71.79</v>
      </c>
      <c r="E11">
        <f t="shared" si="0"/>
        <v>554.867256637168</v>
      </c>
      <c r="F11">
        <v>70.1</v>
      </c>
      <c r="G11">
        <v>100</v>
      </c>
      <c r="H11">
        <v>43.2</v>
      </c>
      <c r="I11">
        <v>2.77</v>
      </c>
      <c r="J11">
        <v>1.37</v>
      </c>
      <c r="K11">
        <v>81.8</v>
      </c>
      <c r="L11">
        <v>14.03</v>
      </c>
      <c r="M11">
        <v>38.1</v>
      </c>
      <c r="N11">
        <v>302.9</v>
      </c>
      <c r="O11">
        <v>0.014946055</v>
      </c>
      <c r="P11">
        <v>1314.7895</v>
      </c>
      <c r="Q11">
        <v>0.4879</v>
      </c>
      <c r="R11">
        <v>0.7241</v>
      </c>
      <c r="S11" s="2">
        <v>62</v>
      </c>
    </row>
    <row r="12" spans="1:19">
      <c r="A12">
        <v>2023</v>
      </c>
      <c r="B12">
        <v>89446</v>
      </c>
      <c r="C12">
        <v>110.6</v>
      </c>
      <c r="D12">
        <v>72.34</v>
      </c>
      <c r="E12">
        <f t="shared" si="0"/>
        <v>575.741801145237</v>
      </c>
      <c r="F12">
        <v>70.1</v>
      </c>
      <c r="G12">
        <v>100</v>
      </c>
      <c r="H12">
        <v>42.36</v>
      </c>
      <c r="I12">
        <v>2.87</v>
      </c>
      <c r="J12">
        <v>1.16</v>
      </c>
      <c r="K12">
        <v>100</v>
      </c>
      <c r="L12">
        <v>14.2</v>
      </c>
      <c r="M12">
        <v>35.78</v>
      </c>
      <c r="N12">
        <v>314.2</v>
      </c>
      <c r="O12">
        <v>0.01434991</v>
      </c>
      <c r="P12">
        <v>2571.1846</v>
      </c>
      <c r="Q12">
        <v>0.4953</v>
      </c>
      <c r="R12">
        <v>0.8253</v>
      </c>
      <c r="S12" s="2">
        <v>66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selection activeCell="D2" sqref="D2:D6"/>
    </sheetView>
  </sheetViews>
  <sheetFormatPr defaultColWidth="8.72727272727273" defaultRowHeight="14" outlineLevelCol="4"/>
  <cols>
    <col min="1" max="1" width="46.8181818181818" customWidth="1"/>
    <col min="2" max="2" width="39.9090909090909" customWidth="1"/>
  </cols>
  <sheetData>
    <row r="1" spans="1:5">
      <c r="A1" t="s">
        <v>103</v>
      </c>
      <c r="B1" t="s">
        <v>104</v>
      </c>
      <c r="C1" t="s">
        <v>58</v>
      </c>
      <c r="D1" t="s">
        <v>105</v>
      </c>
      <c r="E1" t="s">
        <v>106</v>
      </c>
    </row>
    <row r="2" spans="1:5">
      <c r="A2" t="s">
        <v>107</v>
      </c>
      <c r="B2" t="s">
        <v>108</v>
      </c>
      <c r="C2" t="s">
        <v>109</v>
      </c>
      <c r="D2">
        <v>4</v>
      </c>
      <c r="E2" t="s">
        <v>110</v>
      </c>
    </row>
    <row r="3" spans="1:5">
      <c r="A3" t="s">
        <v>107</v>
      </c>
      <c r="B3" t="s">
        <v>111</v>
      </c>
      <c r="C3" t="s">
        <v>112</v>
      </c>
      <c r="D3">
        <v>2</v>
      </c>
      <c r="E3" t="s">
        <v>113</v>
      </c>
    </row>
    <row r="4" spans="1:5">
      <c r="A4" t="s">
        <v>107</v>
      </c>
      <c r="B4" t="s">
        <v>114</v>
      </c>
      <c r="C4" t="s">
        <v>112</v>
      </c>
      <c r="D4">
        <v>4</v>
      </c>
      <c r="E4" t="s">
        <v>115</v>
      </c>
    </row>
    <row r="5" spans="1:5">
      <c r="A5" t="s">
        <v>116</v>
      </c>
      <c r="B5" t="s">
        <v>117</v>
      </c>
      <c r="C5" t="s">
        <v>109</v>
      </c>
      <c r="D5">
        <v>2</v>
      </c>
      <c r="E5" t="s">
        <v>118</v>
      </c>
    </row>
    <row r="6" spans="1:5">
      <c r="A6" t="s">
        <v>116</v>
      </c>
      <c r="B6" t="s">
        <v>119</v>
      </c>
      <c r="C6" t="s">
        <v>112</v>
      </c>
      <c r="D6">
        <v>2</v>
      </c>
      <c r="E6">
        <f>90</f>
        <v>90</v>
      </c>
    </row>
    <row r="7" spans="1:5">
      <c r="A7" t="s">
        <v>116</v>
      </c>
      <c r="B7" t="s">
        <v>120</v>
      </c>
      <c r="C7" t="s">
        <v>112</v>
      </c>
      <c r="D7">
        <v>2</v>
      </c>
      <c r="E7" t="s">
        <v>121</v>
      </c>
    </row>
    <row r="8" spans="1:5">
      <c r="A8" t="s">
        <v>122</v>
      </c>
      <c r="B8" t="s">
        <v>123</v>
      </c>
      <c r="C8" t="s">
        <v>112</v>
      </c>
      <c r="D8">
        <v>3</v>
      </c>
      <c r="E8" t="s">
        <v>124</v>
      </c>
    </row>
    <row r="9" spans="1:5">
      <c r="A9" t="s">
        <v>122</v>
      </c>
      <c r="B9" t="s">
        <v>125</v>
      </c>
      <c r="C9" t="s">
        <v>112</v>
      </c>
      <c r="D9">
        <v>1.5</v>
      </c>
      <c r="E9" t="s">
        <v>126</v>
      </c>
    </row>
    <row r="10" spans="1:5">
      <c r="A10" t="s">
        <v>122</v>
      </c>
      <c r="B10" t="s">
        <v>127</v>
      </c>
      <c r="C10" t="s">
        <v>112</v>
      </c>
      <c r="D10">
        <v>1.5</v>
      </c>
      <c r="E10" t="s">
        <v>128</v>
      </c>
    </row>
    <row r="11" spans="1:5">
      <c r="A11" t="s">
        <v>129</v>
      </c>
      <c r="B11" t="s">
        <v>130</v>
      </c>
      <c r="C11" t="s">
        <v>131</v>
      </c>
      <c r="D11">
        <v>3</v>
      </c>
      <c r="E11" t="s">
        <v>132</v>
      </c>
    </row>
    <row r="12" spans="1:5">
      <c r="A12" t="s">
        <v>129</v>
      </c>
      <c r="B12" t="s">
        <v>133</v>
      </c>
      <c r="C12" t="s">
        <v>134</v>
      </c>
      <c r="D12">
        <v>1.5</v>
      </c>
      <c r="E12" t="s">
        <v>135</v>
      </c>
    </row>
    <row r="13" spans="1:5">
      <c r="A13" t="s">
        <v>129</v>
      </c>
      <c r="B13" t="s">
        <v>136</v>
      </c>
      <c r="C13" t="s">
        <v>137</v>
      </c>
      <c r="D13">
        <v>1.5</v>
      </c>
      <c r="E13" t="s">
        <v>138</v>
      </c>
    </row>
    <row r="14" spans="1:5">
      <c r="A14" t="s">
        <v>139</v>
      </c>
      <c r="B14" t="s">
        <v>140</v>
      </c>
      <c r="C14" t="s">
        <v>112</v>
      </c>
      <c r="D14">
        <v>3</v>
      </c>
      <c r="E14" t="s">
        <v>141</v>
      </c>
    </row>
    <row r="15" spans="1:5">
      <c r="A15" t="s">
        <v>139</v>
      </c>
      <c r="B15" t="s">
        <v>142</v>
      </c>
      <c r="C15" t="s">
        <v>112</v>
      </c>
      <c r="D15">
        <v>3</v>
      </c>
      <c r="E15" t="s">
        <v>143</v>
      </c>
    </row>
    <row r="16" spans="1:5">
      <c r="A16" t="s">
        <v>144</v>
      </c>
      <c r="B16" t="s">
        <v>145</v>
      </c>
      <c r="C16" t="s">
        <v>112</v>
      </c>
      <c r="D16">
        <v>3</v>
      </c>
      <c r="E16">
        <f t="shared" ref="E16:E35" si="0">100</f>
        <v>100</v>
      </c>
    </row>
    <row r="17" spans="1:5">
      <c r="A17" t="s">
        <v>144</v>
      </c>
      <c r="B17" t="s">
        <v>146</v>
      </c>
      <c r="C17" t="s">
        <v>112</v>
      </c>
      <c r="D17">
        <v>3</v>
      </c>
      <c r="E17" t="s">
        <v>147</v>
      </c>
    </row>
    <row r="18" spans="1:5">
      <c r="A18" t="s">
        <v>148</v>
      </c>
      <c r="B18" t="s">
        <v>149</v>
      </c>
      <c r="C18" t="s">
        <v>112</v>
      </c>
      <c r="D18">
        <v>4</v>
      </c>
      <c r="E18">
        <f t="shared" si="0"/>
        <v>100</v>
      </c>
    </row>
    <row r="19" spans="1:5">
      <c r="A19" t="s">
        <v>148</v>
      </c>
      <c r="B19" t="s">
        <v>150</v>
      </c>
      <c r="C19" t="s">
        <v>112</v>
      </c>
      <c r="D19">
        <v>4</v>
      </c>
      <c r="E19">
        <f t="shared" si="0"/>
        <v>100</v>
      </c>
    </row>
    <row r="20" spans="1:5">
      <c r="A20" t="s">
        <v>148</v>
      </c>
      <c r="B20" t="s">
        <v>151</v>
      </c>
      <c r="C20" t="s">
        <v>112</v>
      </c>
      <c r="D20">
        <v>4</v>
      </c>
      <c r="E20">
        <f t="shared" si="0"/>
        <v>100</v>
      </c>
    </row>
    <row r="21" spans="1:5">
      <c r="A21" t="s">
        <v>152</v>
      </c>
      <c r="B21" t="s">
        <v>153</v>
      </c>
      <c r="C21" t="s">
        <v>112</v>
      </c>
      <c r="D21">
        <v>4</v>
      </c>
      <c r="E21">
        <f t="shared" si="0"/>
        <v>100</v>
      </c>
    </row>
    <row r="22" spans="1:5">
      <c r="A22" t="s">
        <v>152</v>
      </c>
      <c r="B22" t="s">
        <v>154</v>
      </c>
      <c r="C22" t="s">
        <v>112</v>
      </c>
      <c r="D22">
        <v>4</v>
      </c>
      <c r="E22">
        <f t="shared" si="0"/>
        <v>100</v>
      </c>
    </row>
    <row r="23" spans="1:5">
      <c r="A23" t="s">
        <v>152</v>
      </c>
      <c r="B23" t="s">
        <v>155</v>
      </c>
      <c r="C23" t="s">
        <v>112</v>
      </c>
      <c r="D23">
        <v>4</v>
      </c>
      <c r="E23">
        <f t="shared" si="0"/>
        <v>100</v>
      </c>
    </row>
    <row r="24" spans="1:5">
      <c r="A24" t="s">
        <v>156</v>
      </c>
      <c r="B24" t="s">
        <v>157</v>
      </c>
      <c r="C24" t="s">
        <v>112</v>
      </c>
      <c r="D24">
        <v>3</v>
      </c>
      <c r="E24">
        <f t="shared" si="0"/>
        <v>100</v>
      </c>
    </row>
    <row r="25" spans="1:5">
      <c r="A25" t="s">
        <v>156</v>
      </c>
      <c r="B25" t="s">
        <v>158</v>
      </c>
      <c r="C25" t="s">
        <v>112</v>
      </c>
      <c r="D25">
        <v>3</v>
      </c>
      <c r="E25">
        <f t="shared" si="0"/>
        <v>100</v>
      </c>
    </row>
    <row r="26" spans="1:5">
      <c r="A26" t="s">
        <v>156</v>
      </c>
      <c r="B26" t="s">
        <v>159</v>
      </c>
      <c r="C26" t="s">
        <v>112</v>
      </c>
      <c r="D26">
        <v>3</v>
      </c>
      <c r="E26">
        <f t="shared" si="0"/>
        <v>100</v>
      </c>
    </row>
    <row r="27" spans="1:5">
      <c r="A27" t="s">
        <v>156</v>
      </c>
      <c r="B27" t="s">
        <v>160</v>
      </c>
      <c r="C27" t="s">
        <v>112</v>
      </c>
      <c r="D27">
        <v>3</v>
      </c>
      <c r="E27">
        <f t="shared" si="0"/>
        <v>100</v>
      </c>
    </row>
    <row r="28" spans="1:5">
      <c r="A28" t="s">
        <v>161</v>
      </c>
      <c r="B28" t="s">
        <v>162</v>
      </c>
      <c r="C28" t="s">
        <v>112</v>
      </c>
      <c r="D28">
        <v>3</v>
      </c>
      <c r="E28">
        <f t="shared" si="0"/>
        <v>100</v>
      </c>
    </row>
    <row r="29" spans="1:5">
      <c r="A29" t="s">
        <v>161</v>
      </c>
      <c r="B29" t="s">
        <v>163</v>
      </c>
      <c r="C29" t="s">
        <v>112</v>
      </c>
      <c r="D29">
        <v>3</v>
      </c>
      <c r="E29">
        <f t="shared" si="0"/>
        <v>100</v>
      </c>
    </row>
    <row r="30" spans="1:5">
      <c r="A30" t="s">
        <v>161</v>
      </c>
      <c r="B30" t="s">
        <v>164</v>
      </c>
      <c r="C30" t="s">
        <v>112</v>
      </c>
      <c r="D30">
        <v>3</v>
      </c>
      <c r="E30">
        <f t="shared" si="0"/>
        <v>100</v>
      </c>
    </row>
    <row r="31" spans="1:5">
      <c r="A31" t="s">
        <v>161</v>
      </c>
      <c r="B31" t="s">
        <v>165</v>
      </c>
      <c r="C31" t="s">
        <v>112</v>
      </c>
      <c r="D31">
        <v>3</v>
      </c>
      <c r="E31">
        <f t="shared" si="0"/>
        <v>100</v>
      </c>
    </row>
    <row r="32" spans="1:5">
      <c r="A32" t="s">
        <v>166</v>
      </c>
      <c r="B32" t="s">
        <v>167</v>
      </c>
      <c r="C32" t="s">
        <v>112</v>
      </c>
      <c r="D32">
        <v>3</v>
      </c>
      <c r="E32">
        <f t="shared" si="0"/>
        <v>100</v>
      </c>
    </row>
    <row r="33" spans="1:5">
      <c r="A33" t="s">
        <v>166</v>
      </c>
      <c r="B33" t="s">
        <v>168</v>
      </c>
      <c r="C33" t="s">
        <v>112</v>
      </c>
      <c r="D33">
        <v>3</v>
      </c>
      <c r="E33">
        <f t="shared" si="0"/>
        <v>100</v>
      </c>
    </row>
    <row r="34" spans="1:5">
      <c r="A34" t="s">
        <v>166</v>
      </c>
      <c r="B34" t="s">
        <v>169</v>
      </c>
      <c r="C34" t="s">
        <v>112</v>
      </c>
      <c r="D34">
        <v>3</v>
      </c>
      <c r="E34">
        <f t="shared" si="0"/>
        <v>100</v>
      </c>
    </row>
    <row r="35" spans="1:5">
      <c r="A35" t="s">
        <v>166</v>
      </c>
      <c r="B35" t="s">
        <v>170</v>
      </c>
      <c r="C35" t="s">
        <v>112</v>
      </c>
      <c r="D35">
        <v>3</v>
      </c>
      <c r="E35">
        <f t="shared" si="0"/>
        <v>100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G12" sqref="G12"/>
    </sheetView>
  </sheetViews>
  <sheetFormatPr defaultColWidth="8.72727272727273" defaultRowHeight="14" outlineLevelCol="7"/>
  <cols>
    <col min="2" max="2" width="19.7272727272727" customWidth="1"/>
    <col min="4" max="4" width="24.8181818181818" customWidth="1"/>
  </cols>
  <sheetData>
    <row r="1" spans="1:8">
      <c r="A1" t="s">
        <v>11</v>
      </c>
      <c r="B1" t="s">
        <v>171</v>
      </c>
      <c r="C1" t="s">
        <v>11</v>
      </c>
      <c r="D1" t="s">
        <v>172</v>
      </c>
      <c r="H1" s="1" t="s">
        <v>173</v>
      </c>
    </row>
    <row r="2" spans="1:8">
      <c r="A2">
        <v>2013</v>
      </c>
      <c r="B2">
        <v>217.2</v>
      </c>
      <c r="C2">
        <v>2014</v>
      </c>
      <c r="D2">
        <v>1852589</v>
      </c>
      <c r="G2" s="1">
        <v>0.6403</v>
      </c>
      <c r="H2" s="1">
        <v>414708</v>
      </c>
    </row>
    <row r="3" spans="1:8">
      <c r="A3">
        <v>2014</v>
      </c>
      <c r="B3">
        <v>258</v>
      </c>
      <c r="C3">
        <v>2015</v>
      </c>
      <c r="D3">
        <v>1974596</v>
      </c>
      <c r="G3" s="1">
        <v>1</v>
      </c>
      <c r="H3" s="1">
        <v>513465</v>
      </c>
    </row>
    <row r="4" spans="1:8">
      <c r="A4">
        <v>2015</v>
      </c>
      <c r="B4">
        <v>291.9</v>
      </c>
      <c r="C4">
        <v>2016</v>
      </c>
      <c r="D4">
        <v>2039427</v>
      </c>
      <c r="G4" s="1">
        <v>0.94446</v>
      </c>
      <c r="H4" s="1">
        <v>562004</v>
      </c>
    </row>
    <row r="5" spans="1:8">
      <c r="A5">
        <v>2016</v>
      </c>
      <c r="B5">
        <v>305.5</v>
      </c>
      <c r="C5">
        <v>2017</v>
      </c>
      <c r="D5">
        <v>2428284</v>
      </c>
      <c r="G5" s="1">
        <v>0.06208</v>
      </c>
      <c r="H5" s="1">
        <v>533121</v>
      </c>
    </row>
    <row r="6" spans="1:8">
      <c r="A6">
        <v>2017</v>
      </c>
      <c r="B6">
        <v>370.4</v>
      </c>
      <c r="C6">
        <v>2018</v>
      </c>
      <c r="D6">
        <v>2209223</v>
      </c>
      <c r="G6" s="1">
        <v>0.02094</v>
      </c>
      <c r="H6" s="1">
        <v>1168553</v>
      </c>
    </row>
    <row r="7" spans="1:8">
      <c r="A7">
        <v>2018</v>
      </c>
      <c r="B7">
        <v>469.91</v>
      </c>
      <c r="C7">
        <v>2019</v>
      </c>
      <c r="D7">
        <v>2585252</v>
      </c>
      <c r="G7" s="1">
        <v>0.03374</v>
      </c>
      <c r="H7" s="1">
        <v>1481362</v>
      </c>
    </row>
    <row r="8" spans="1:8">
      <c r="A8">
        <v>2019</v>
      </c>
      <c r="B8">
        <v>525.33</v>
      </c>
      <c r="C8">
        <v>2020</v>
      </c>
      <c r="D8">
        <v>2686338</v>
      </c>
      <c r="G8" s="1">
        <v>0</v>
      </c>
      <c r="H8" s="1">
        <v>1632969</v>
      </c>
    </row>
    <row r="9" spans="1:8">
      <c r="A9">
        <v>2020</v>
      </c>
      <c r="B9">
        <v>417.73</v>
      </c>
      <c r="C9">
        <v>2021</v>
      </c>
      <c r="D9">
        <v>2635273</v>
      </c>
      <c r="G9" s="1">
        <v>0.30807</v>
      </c>
      <c r="H9" s="1">
        <v>1644036</v>
      </c>
    </row>
    <row r="10" spans="1:8">
      <c r="A10">
        <v>2021</v>
      </c>
      <c r="B10">
        <v>743.2</v>
      </c>
      <c r="C10">
        <v>2022</v>
      </c>
      <c r="D10">
        <v>2886399</v>
      </c>
      <c r="G10" s="1">
        <v>0.28756</v>
      </c>
      <c r="H10" s="1">
        <v>1951878</v>
      </c>
    </row>
    <row r="11" spans="1:8">
      <c r="A11">
        <v>2022</v>
      </c>
      <c r="B11">
        <v>431.54</v>
      </c>
      <c r="C11">
        <v>2023</v>
      </c>
      <c r="D11">
        <v>3233228</v>
      </c>
      <c r="G11" s="1">
        <v>0.64157</v>
      </c>
      <c r="H11" s="1">
        <v>1781982</v>
      </c>
    </row>
    <row r="12" spans="1:8">
      <c r="A12">
        <v>2023</v>
      </c>
      <c r="B12">
        <v>887.22</v>
      </c>
      <c r="G12" s="1">
        <v>0.15653</v>
      </c>
      <c r="H12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I13" sqref="I13"/>
    </sheetView>
  </sheetViews>
  <sheetFormatPr defaultColWidth="8.72727272727273" defaultRowHeight="14"/>
  <sheetData>
    <row r="1" spans="1:1">
      <c r="A1" t="s">
        <v>174</v>
      </c>
    </row>
    <row r="2" spans="1:1">
      <c r="A2" t="s">
        <v>175</v>
      </c>
    </row>
    <row r="3" spans="1:1">
      <c r="A3" t="s">
        <v>176</v>
      </c>
    </row>
    <row r="4" spans="1:1">
      <c r="A4" t="s">
        <v>177</v>
      </c>
    </row>
    <row r="5" spans="1:1">
      <c r="A5" t="s">
        <v>178</v>
      </c>
    </row>
    <row r="6" spans="1:1">
      <c r="A6" t="s">
        <v>179</v>
      </c>
    </row>
    <row r="7" spans="1:1">
      <c r="A7" t="s">
        <v>180</v>
      </c>
    </row>
    <row r="8" spans="1:1">
      <c r="A8" t="s">
        <v>181</v>
      </c>
    </row>
    <row r="9" spans="1:1">
      <c r="A9" t="s">
        <v>182</v>
      </c>
    </row>
    <row r="10" spans="1:1">
      <c r="A10" t="s">
        <v>183</v>
      </c>
    </row>
    <row r="11" spans="1:1">
      <c r="A11" t="s">
        <v>184</v>
      </c>
    </row>
    <row r="12" spans="1:1">
      <c r="A12" t="s">
        <v>185</v>
      </c>
    </row>
    <row r="13" spans="1:1">
      <c r="A13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Annoying orange</cp:lastModifiedBy>
  <dcterms:created xsi:type="dcterms:W3CDTF">2025-11-28T01:36:00Z</dcterms:created>
  <dcterms:modified xsi:type="dcterms:W3CDTF">2025-11-30T10:41:14Z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{"Label":"1","ContentProducer":"001191440300708461136T1IVWN","ProduceID":"6416768f3e2bc063dc34988601fb726f-1f35c3c4e2d12acbc7a6e54cd9591ff0","ReservedCode1":"{\"Type\":\" TC260PG\",\"Version\":1,\"Bindings\":[{\"Type\":\"soft\",\"AlgID\":\"sm3\",\"Value\":\"de171f4cdb9f6170759d88746cebdae8a5612dc6862eb4382561b80c5a496c0e\"},{\"Type\":\"hash\",\"AlgID\":\"sm3\",\"Value\":\"fae81d6d31f7927292acfd8dc2e2ddb7eec2148ae13c59a9a879b80594449cc3\"}],\"PubSD\":[{\"Type\":\"DS\",\"AlgID\":\"sm2\",\"TBSData\":{\"Type\":\"Binding\",\"BType\":\"hash\"},\"Signature\":\"304402200fa680ae697e66883c4d732f129a828058edb9f7cc30a66b04979c07946f05360220363dff95cfcdfb1cf709e57407a1c54611d4f1d01355b1acb6d028cbdc88c71b\"},{\"Type\":\"PubKey\",\"AlgID\":\"sm2\",\"KeyValue\":\"0407f79b28a17a752b3aae4305c98b48978213832729a2571850b1310b2bc9fe8fee039ccf25ebfeac27502414d9fcef792d777183c98893d226171c2f7a3289a2\"}],\"Extension\":{\"Timestamp\":1764293814,\"KeyVersion\":\"v1-Owd2uMESYLo311\"}}","ContentPropagator":"001191440300708461136T1IVWN","PropagateID":"6416768f3e2bc063dc34988601fb726f-1f35c3c4e2d12acbc7a6e54cd9591ff0","ReservedCode2":"{\"Type\":\" TC260PG\",\"Version\":1,\"Bindings\":[{\"Type\":\"soft\",\"AlgID\":\"sm3\",\"Value\":\"de171f4cdb9f6170759d88746cebdae8a5612dc6862eb4382561b80c5a496c0e\"},{\"Type\":\"hash\",\"AlgID\":\"sm3\",\"Value\":\"fae81d6d31f7927292acfd8dc2e2ddb7eec2148ae13c59a9a879b80594449cc3\"}],\"PubSD\":[{\"Type\":\"DS\",\"AlgID\":\"sm2\",\"TBSData\":{\"Type\":\"Binding\",\"BType\":\"hash\"},\"Signature\":\"3046022100c9e21766237f11ae42bd43dc742fb9c672950be6081a74c5f85eacaa0424b77a022100a0c3334ad2c3a9217c201923aed5f267e04e4df61ba8a105d9cf7842cb59c303\"},{\"Type\":\"PubKey\",\"AlgID\":\"sm2\",\"KeyValue\":\"0407f79b28a17a752b3aae4305c98b48978213832729a2571850b1310b2bc9fe8fee039ccf25ebfeac27502414d9fcef792d777183c98893d226171c2f7a3289a2\"}],\"Extension\":{\"Timestamp\":1764293814,\"KeyVersion\":\"v1-Owd2uMESYLo311\"}}"}</vt:lpwstr>
  </property>
  <property fmtid="{D5CDD505-2E9C-101B-9397-08002B2CF9AE}" pid="3" name="ICV">
    <vt:lpwstr>6FBAAE6DE67544D8969BB3455FBCD8B4_13</vt:lpwstr>
  </property>
  <property fmtid="{D5CDD505-2E9C-101B-9397-08002B2CF9AE}" pid="4" name="KSOProductBuildVer">
    <vt:lpwstr>2052-12.1.0.23542</vt:lpwstr>
  </property>
</Properties>
</file>